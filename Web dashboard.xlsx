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4719\Desktop\"/>
    </mc:Choice>
  </mc:AlternateContent>
  <xr:revisionPtr revIDLastSave="0" documentId="13_ncr:1_{0DEDC865-E27C-4E7A-B7F5-06BB9D3D3DC9}" xr6:coauthVersionLast="47" xr6:coauthVersionMax="47" xr10:uidLastSave="{00000000-0000-0000-0000-000000000000}"/>
  <bookViews>
    <workbookView xWindow="0" yWindow="360" windowWidth="20640" windowHeight="11040" tabRatio="820" firstSheet="1" xr2:uid="{2F31949C-96B3-47B4-A116-B617DE4D8F64}"/>
  </bookViews>
  <sheets>
    <sheet name="Raw Data" sheetId="1" r:id="rId1"/>
    <sheet name="Sheet1" sheetId="12" state="hidden" r:id="rId2"/>
    <sheet name="Sheet2" sheetId="5" state="hidden" r:id="rId3"/>
  </sheets>
  <definedNames>
    <definedName name="ChartDates">_xlfn.ANCHORARRAY(#REF!)</definedName>
    <definedName name="ChartErrors">_xlfn.ANCHORARRAY(#REF!)</definedName>
    <definedName name="MonthList">_xlfn._xlws.SORT(_xlfn.UNIQUE('Raw Data'!$I$2:$I$10005))</definedName>
    <definedName name="TourChartX">_xlfn.ANCHORARRAY(#REF!)</definedName>
    <definedName name="TourChartY">_xlfn.ANCHORARRAY(#REF!)</definedName>
    <definedName name="Tourcharty7">#REF!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4" i="1" l="1"/>
  <c r="J114" i="1"/>
  <c r="I113" i="1"/>
  <c r="J113" i="1"/>
  <c r="I112" i="1"/>
  <c r="J112" i="1"/>
  <c r="I111" i="1"/>
  <c r="J111" i="1"/>
  <c r="I110" i="1"/>
  <c r="J110" i="1"/>
  <c r="I109" i="1"/>
  <c r="J109" i="1"/>
  <c r="I108" i="1"/>
  <c r="J108" i="1"/>
  <c r="I107" i="1"/>
  <c r="J107" i="1"/>
  <c r="I106" i="1"/>
  <c r="J106" i="1"/>
  <c r="K106" i="1"/>
  <c r="I105" i="1"/>
  <c r="J105" i="1"/>
  <c r="I104" i="1"/>
  <c r="J104" i="1"/>
  <c r="I103" i="1"/>
  <c r="J103" i="1"/>
  <c r="I102" i="1"/>
  <c r="J102" i="1"/>
  <c r="I2" i="1"/>
  <c r="I3" i="1"/>
  <c r="J3" i="1"/>
  <c r="K3" i="1"/>
  <c r="I4" i="1"/>
  <c r="J4" i="1"/>
  <c r="K4" i="1"/>
  <c r="I5" i="1"/>
  <c r="J5" i="1"/>
  <c r="L5" i="1"/>
  <c r="I6" i="1"/>
  <c r="J6" i="1"/>
  <c r="I7" i="1"/>
  <c r="J7" i="1"/>
  <c r="K7" i="1"/>
  <c r="I8" i="1"/>
  <c r="J8" i="1"/>
  <c r="K8" i="1"/>
  <c r="I9" i="1"/>
  <c r="J9" i="1"/>
  <c r="K9" i="1"/>
  <c r="I10" i="1"/>
  <c r="J10" i="1"/>
  <c r="I11" i="1"/>
  <c r="J11" i="1"/>
  <c r="I12" i="1"/>
  <c r="J12" i="1"/>
  <c r="I13" i="1"/>
  <c r="J13" i="1"/>
  <c r="I14" i="1"/>
  <c r="J14" i="1"/>
  <c r="K14" i="1"/>
  <c r="I15" i="1"/>
  <c r="J15" i="1"/>
  <c r="K15" i="1"/>
  <c r="I16" i="1"/>
  <c r="J16" i="1"/>
  <c r="I17" i="1"/>
  <c r="J17" i="1"/>
  <c r="K17" i="1"/>
  <c r="I18" i="1"/>
  <c r="J18" i="1"/>
  <c r="K18" i="1"/>
  <c r="I19" i="1"/>
  <c r="J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I25" i="1"/>
  <c r="J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I33" i="1"/>
  <c r="J33" i="1"/>
  <c r="K33" i="1"/>
  <c r="I34" i="1"/>
  <c r="J34" i="1"/>
  <c r="I35" i="1"/>
  <c r="J35" i="1"/>
  <c r="I36" i="1"/>
  <c r="J36" i="1"/>
  <c r="I37" i="1"/>
  <c r="J37" i="1"/>
  <c r="K37" i="1"/>
  <c r="I38" i="1"/>
  <c r="J38" i="1"/>
  <c r="I39" i="1"/>
  <c r="J39" i="1"/>
  <c r="K39" i="1"/>
  <c r="I40" i="1"/>
  <c r="J40" i="1"/>
  <c r="I41" i="1"/>
  <c r="J41" i="1"/>
  <c r="I42" i="1"/>
  <c r="J42" i="1"/>
  <c r="I43" i="1"/>
  <c r="J43" i="1"/>
  <c r="K43" i="1"/>
  <c r="I44" i="1"/>
  <c r="J44" i="1"/>
  <c r="I45" i="1"/>
  <c r="J45" i="1"/>
  <c r="K45" i="1"/>
  <c r="I46" i="1"/>
  <c r="J46" i="1"/>
  <c r="I47" i="1"/>
  <c r="J47" i="1"/>
  <c r="K47" i="1"/>
  <c r="I48" i="1"/>
  <c r="J48" i="1"/>
  <c r="L48" i="1"/>
  <c r="I49" i="1"/>
  <c r="J49" i="1"/>
  <c r="K49" i="1"/>
  <c r="I50" i="1"/>
  <c r="J50" i="1"/>
  <c r="I51" i="1"/>
  <c r="J51" i="1"/>
  <c r="I52" i="1"/>
  <c r="J52" i="1"/>
  <c r="I53" i="1"/>
  <c r="J53" i="1"/>
  <c r="K53" i="1"/>
  <c r="I54" i="1"/>
  <c r="J54" i="1"/>
  <c r="K54" i="1"/>
  <c r="I55" i="1"/>
  <c r="J55" i="1"/>
  <c r="I56" i="1"/>
  <c r="J56" i="1"/>
  <c r="I57" i="1"/>
  <c r="J57" i="1"/>
  <c r="I58" i="1"/>
  <c r="J58" i="1"/>
  <c r="I59" i="1"/>
  <c r="J59" i="1"/>
  <c r="I60" i="1"/>
  <c r="J60" i="1"/>
  <c r="K60" i="1"/>
  <c r="I61" i="1"/>
  <c r="J61" i="1"/>
  <c r="I62" i="1"/>
  <c r="J62" i="1"/>
  <c r="I63" i="1"/>
  <c r="J63" i="1"/>
  <c r="I64" i="1"/>
  <c r="J64" i="1"/>
  <c r="K64" i="1"/>
  <c r="I65" i="1"/>
  <c r="I66" i="1"/>
  <c r="J66" i="1"/>
  <c r="K66" i="1"/>
  <c r="I67" i="1"/>
  <c r="J67" i="1"/>
  <c r="K67" i="1"/>
  <c r="I68" i="1"/>
  <c r="J68" i="1"/>
  <c r="I69" i="1"/>
  <c r="J69" i="1"/>
  <c r="I70" i="1"/>
  <c r="J70" i="1"/>
  <c r="I71" i="1"/>
  <c r="J71" i="1"/>
  <c r="K71" i="1"/>
  <c r="I72" i="1"/>
  <c r="J72" i="1"/>
  <c r="I73" i="1"/>
  <c r="J73" i="1"/>
  <c r="K73" i="1"/>
  <c r="I74" i="1"/>
  <c r="J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I80" i="1"/>
  <c r="J80" i="1"/>
  <c r="I81" i="1"/>
  <c r="J81" i="1"/>
  <c r="K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K89" i="1"/>
  <c r="I90" i="1"/>
  <c r="J90" i="1"/>
  <c r="K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K99" i="1"/>
  <c r="I100" i="1"/>
  <c r="J100" i="1"/>
  <c r="I101" i="1"/>
  <c r="J101" i="1"/>
  <c r="K110" i="1"/>
  <c r="K112" i="1"/>
  <c r="L101" i="1"/>
  <c r="L109" i="1"/>
  <c r="L112" i="1"/>
  <c r="K102" i="1"/>
  <c r="L108" i="1"/>
  <c r="K105" i="1"/>
  <c r="L113" i="1"/>
  <c r="K104" i="1"/>
  <c r="K108" i="1"/>
  <c r="K101" i="1"/>
  <c r="K107" i="1"/>
  <c r="K114" i="1"/>
  <c r="K111" i="1"/>
  <c r="L110" i="1"/>
  <c r="K113" i="1"/>
  <c r="K103" i="1"/>
  <c r="K109" i="1"/>
  <c r="L107" i="1"/>
  <c r="L105" i="1"/>
  <c r="L111" i="1"/>
  <c r="L102" i="1"/>
  <c r="L114" i="1"/>
  <c r="L106" i="1"/>
  <c r="K79" i="1"/>
  <c r="K56" i="1"/>
  <c r="K55" i="1"/>
  <c r="K88" i="1"/>
  <c r="K52" i="1"/>
  <c r="K58" i="1"/>
  <c r="K84" i="1"/>
  <c r="K24" i="1"/>
  <c r="K69" i="1"/>
  <c r="K57" i="1"/>
  <c r="K92" i="1"/>
  <c r="K80" i="1"/>
  <c r="K68" i="1"/>
  <c r="K44" i="1"/>
  <c r="K87" i="1"/>
  <c r="K63" i="1"/>
  <c r="K51" i="1"/>
  <c r="K62" i="1"/>
  <c r="K50" i="1"/>
  <c r="K85" i="1"/>
  <c r="L12" i="1"/>
  <c r="K95" i="1"/>
  <c r="K83" i="1"/>
  <c r="L97" i="1"/>
  <c r="L61" i="1"/>
  <c r="L84" i="1"/>
  <c r="L72" i="1"/>
  <c r="L50" i="1"/>
  <c r="L56" i="1"/>
  <c r="L70" i="1"/>
  <c r="L8" i="1"/>
  <c r="L36" i="1"/>
  <c r="K48" i="1"/>
  <c r="L58" i="1"/>
  <c r="K36" i="1"/>
  <c r="K100" i="1"/>
  <c r="K40" i="1"/>
  <c r="K16" i="1"/>
  <c r="L57" i="1"/>
  <c r="L25" i="1"/>
  <c r="L26" i="1"/>
  <c r="L24" i="1"/>
  <c r="L96" i="1"/>
  <c r="K12" i="1"/>
  <c r="L71" i="1"/>
  <c r="L6" i="1"/>
  <c r="L98" i="1"/>
  <c r="L62" i="1"/>
  <c r="L38" i="1"/>
  <c r="L14" i="1"/>
  <c r="L85" i="1"/>
  <c r="L73" i="1"/>
  <c r="L49" i="1"/>
  <c r="L37" i="1"/>
  <c r="K91" i="1"/>
  <c r="K19" i="1"/>
  <c r="L60" i="1"/>
  <c r="L95" i="1"/>
  <c r="L59" i="1"/>
  <c r="L47" i="1"/>
  <c r="L35" i="1"/>
  <c r="L23" i="1"/>
  <c r="L94" i="1"/>
  <c r="L82" i="1"/>
  <c r="L46" i="1"/>
  <c r="L34" i="1"/>
  <c r="L22" i="1"/>
  <c r="L93" i="1"/>
  <c r="L81" i="1"/>
  <c r="L69" i="1"/>
  <c r="L45" i="1"/>
  <c r="L33" i="1"/>
  <c r="L92" i="1"/>
  <c r="L80" i="1"/>
  <c r="L44" i="1"/>
  <c r="L32" i="1"/>
  <c r="L91" i="1"/>
  <c r="L79" i="1"/>
  <c r="L55" i="1"/>
  <c r="L43" i="1"/>
  <c r="L31" i="1"/>
  <c r="L19" i="1"/>
  <c r="L7" i="1"/>
  <c r="K97" i="1"/>
  <c r="K61" i="1"/>
  <c r="L90" i="1"/>
  <c r="L78" i="1"/>
  <c r="L66" i="1"/>
  <c r="L54" i="1"/>
  <c r="L18" i="1"/>
  <c r="L89" i="1"/>
  <c r="L77" i="1"/>
  <c r="L53" i="1"/>
  <c r="L29" i="1"/>
  <c r="L100" i="1"/>
  <c r="L88" i="1"/>
  <c r="L76" i="1"/>
  <c r="L64" i="1"/>
  <c r="L52" i="1"/>
  <c r="L40" i="1"/>
  <c r="L28" i="1"/>
  <c r="L16" i="1"/>
  <c r="K94" i="1"/>
  <c r="L99" i="1"/>
  <c r="L63" i="1"/>
  <c r="L51" i="1"/>
  <c r="L39" i="1"/>
  <c r="L27" i="1"/>
  <c r="L15" i="1"/>
  <c r="K42" i="1"/>
  <c r="K6" i="1"/>
  <c r="K41" i="1"/>
  <c r="K70" i="1"/>
  <c r="K25" i="1"/>
  <c r="K98" i="1"/>
  <c r="K86" i="1"/>
  <c r="K74" i="1"/>
  <c r="K38" i="1"/>
  <c r="K93" i="1"/>
  <c r="K96" i="1"/>
  <c r="K72" i="1"/>
  <c r="K59" i="1"/>
  <c r="K35" i="1"/>
  <c r="K11" i="1"/>
  <c r="K82" i="1"/>
  <c r="K46" i="1"/>
  <c r="K34" i="1"/>
  <c r="K10" i="1"/>
  <c r="K32" i="1"/>
  <c r="K5" i="1"/>
  <c r="J2" i="1"/>
  <c r="L3" i="1"/>
  <c r="J65" i="1"/>
  <c r="L103" i="1"/>
  <c r="L104" i="1"/>
  <c r="L87" i="1"/>
  <c r="L75" i="1"/>
  <c r="L17" i="1"/>
  <c r="K65" i="1"/>
  <c r="L65" i="1"/>
  <c r="L68" i="1"/>
  <c r="L4" i="1"/>
  <c r="L83" i="1"/>
  <c r="L74" i="1"/>
  <c r="L2" i="1"/>
  <c r="K2" i="1"/>
  <c r="L20" i="1"/>
  <c r="L9" i="1"/>
  <c r="L21" i="1"/>
  <c r="L10" i="1"/>
  <c r="L11" i="1"/>
  <c r="L86" i="1"/>
  <c r="L30" i="1"/>
  <c r="L67" i="1"/>
  <c r="L13" i="1"/>
  <c r="L41" i="1"/>
  <c r="L42" i="1"/>
  <c r="K13" i="1"/>
</calcChain>
</file>

<file path=xl/sharedStrings.xml><?xml version="1.0" encoding="utf-8"?>
<sst xmlns="http://schemas.openxmlformats.org/spreadsheetml/2006/main" count="724" uniqueCount="294">
  <si>
    <t xml:space="preserve">Date </t>
  </si>
  <si>
    <t xml:space="preserve">Article </t>
  </si>
  <si>
    <t xml:space="preserve">Error Type </t>
  </si>
  <si>
    <t>Tour/Site</t>
  </si>
  <si>
    <t xml:space="preserve">Picker ID </t>
  </si>
  <si>
    <t>Checker ID</t>
  </si>
  <si>
    <t xml:space="preserve">Qyt Affected ( EA ) </t>
  </si>
  <si>
    <t>Description</t>
  </si>
  <si>
    <t>Excess</t>
  </si>
  <si>
    <t>Short</t>
  </si>
  <si>
    <t>Rank</t>
  </si>
  <si>
    <t>Month List</t>
  </si>
  <si>
    <t>SORTBY(UNIQUE('Raw Data'!G2:G9996),COUNTIF('Raw Data'!G2:G9996,UNIQUE('Raw Data'!G2:G9996)),-1)</t>
  </si>
  <si>
    <t>SORTBY(UNIQUE(Filter('Raw Data'!G2:G9996,('Raw Data'!G2:G9996&lt;&gt;"") *('Raw Data'!I2:G9996=$A$4))) COUNTIFS('Raw Data'!G2:G9996,(UNIQUE(Filter('Raw Data'!G2:G9996,('Raw Data'!G2:G9996&lt;&gt;"") *('Raw Data'!I2:G9996=$A$4),-1)</t>
  </si>
  <si>
    <t>FILTER('Raw Data'!G2:G10000,('Raw Data'!G2:G10000&lt;&gt;"")*('Raw Data'!I2:I10000=TEXT($A$4,"mmmm yyyy")))</t>
  </si>
  <si>
    <t xml:space="preserve">Last Error Found Date </t>
  </si>
  <si>
    <t xml:space="preserve">Total Error </t>
  </si>
  <si>
    <t>SUMPRODUCT((RawData[Month List]=IF($A$4="ALL",RawData[Month List],$A$4))*(RawData[Tour/Site]=IF($B$4="ALL",RawData[Tour/Site],$B$4))*(RawData[[Picker ID ]]=IF($C$4="ALL",RawData[[Picker ID ]],$C$4))*(RawData[Checker ID]=IF($D$4="ALL",RawData[Checker ID],$D$4))*(RawData[[Error Type ]]=IF($E$4="ALL",RawData[[Error Type ]],$E$4))*RawData[Qyt Affected ( EA ) ])</t>
  </si>
  <si>
    <t>SUMPRODUCT((RawData[Month List]=IF($A$4="ALL",RawData[Month List],$A$4))*(RawData[Tour/Site]=IF($B$4="ALL",RawData[Tour/Site],$B$4))*(RawData[[Picker ID ]]=IF($C$4="ALL",RawData[[Picker ID ]],$C$4))*(RawData[Checker ID]=IF($D$4="ALL",RawData[Checker ID],$D$4))*(RawData[[Error Type ]]=IF($E$4="ALL",RawData[[Error Type ]],$E$4))*1)</t>
  </si>
  <si>
    <t>Total Qyt Affected  DASHBOARD</t>
  </si>
  <si>
    <t>MatchFlag</t>
  </si>
  <si>
    <t>Picker First</t>
  </si>
  <si>
    <t>Checker First</t>
  </si>
  <si>
    <t>if(N7="","",SUMPRODUCT(RawData[[Date ]]=N7)*(RawData[Month List]=IF($A$4="ALL",RawData[Month List],$A$4))*(RawData[Tour/Site]=IF($B$4="ALL",RawData[Tour/Site],$B$4))*(RawData[[Picker ID ]]=IF($C$4="ALL",RawData[[Picker ID ]],$C$4))*(RawData[Checker ID]=IF($D$4="ALL",RawData[Checker ID],$D$4))*(RawData[[Error Type ]]=if($E$4="ALL",RawData[[Error Type ]],$E$4))))</t>
  </si>
  <si>
    <t>SORT(UNIQUE(FILTER(RawData[Tour/Site],(RawData[Tour/Site]&lt;&gt;"")*IF($A$4="ALL",1,RawData[Month List]=$A$4)*IF($C$4="ALL",1,RawData[[Picker ID ]]=$C$4)*IF($D$4="ALL",1,RawData[Checker ID]=$D$4)*IF($E$4="ALL",1,RawData[[Error Type ]]=$E$4))))</t>
  </si>
  <si>
    <t>IF(ISNA(AD11),NA(),COUNTIFS(RawData[[Picker ID ]],Dashboard!AD11,RawData[Month List],$Q$1,RawData[Tour/Site],$Q$2,RawData[Checker ID],$Q$4,RawData[[Error Type ]],$Q$5))</t>
  </si>
  <si>
    <t>Formulas</t>
  </si>
  <si>
    <t>Picker Monthly Report ( Sheet)</t>
  </si>
  <si>
    <t>Cell</t>
  </si>
  <si>
    <t>Remark</t>
  </si>
  <si>
    <t>A4</t>
  </si>
  <si>
    <t>Droplist for month selections</t>
  </si>
  <si>
    <t>B4</t>
  </si>
  <si>
    <t>COUNTA(A7#)</t>
  </si>
  <si>
    <t>Total picker with Error</t>
  </si>
  <si>
    <t>C4</t>
  </si>
  <si>
    <t>SUM(B7:B1000)</t>
  </si>
  <si>
    <t>Total Error Cases</t>
  </si>
  <si>
    <t>D4</t>
  </si>
  <si>
    <t>SUM(C7:C1000)</t>
  </si>
  <si>
    <t>Total Short Cases</t>
  </si>
  <si>
    <t>E4</t>
  </si>
  <si>
    <t>SUM(D7:D1000)</t>
  </si>
  <si>
    <t xml:space="preserve">Total Excess Cases </t>
  </si>
  <si>
    <t>F4</t>
  </si>
  <si>
    <t>SUM(E7:E900)</t>
  </si>
  <si>
    <t>Total Qyt Affected</t>
  </si>
  <si>
    <t>G4</t>
  </si>
  <si>
    <t>KPI CARD</t>
  </si>
  <si>
    <t>SORTBY(UNIQUE(M7#),COUNTIFS('Raw Data'!G:G,UNIQUE(M7#),'Raw Data'!J:J,TEXT($A$4,"mmmm yyyy")),-1)</t>
  </si>
  <si>
    <t>Analysis</t>
  </si>
  <si>
    <t>A7</t>
  </si>
  <si>
    <t>Picker ID Column</t>
  </si>
  <si>
    <t>IF(A7="","",COUNTIFS('Raw Data'!G:G,A7,'Raw Data'!J:J,TEXT($A$4,"mmmm yyyy")))</t>
  </si>
  <si>
    <t>B7</t>
  </si>
  <si>
    <t>Error Cases Column</t>
  </si>
  <si>
    <t>C7</t>
  </si>
  <si>
    <t>IF(A7="","",COUNTIFS('Raw Data'!G:G,A7,'Raw Data'!J:J,TEXT($A$4,"mmmm yyyy"),'Raw Data'!E:E,"Short"))</t>
  </si>
  <si>
    <t>Short Cases Column</t>
  </si>
  <si>
    <t>D7</t>
  </si>
  <si>
    <t>Excess Cases Column</t>
  </si>
  <si>
    <t>IF(A7="","",COUNTIFS('Raw Data'!G:G,A7,'Raw Data'!J:J,TEXT($A$4,"mmmm yyyy"),'Raw Data'!E:E,"Excess"))</t>
  </si>
  <si>
    <t>IF(A8="","",SUMIFS('Raw Data'!D:D,'Raw Data'!G:G,A8,'Raw Data'!J:J,TEXT($A$4,"mmmm yyyy")))</t>
  </si>
  <si>
    <t>Qyt Affected Column</t>
  </si>
  <si>
    <t>E7</t>
  </si>
  <si>
    <t>F7</t>
  </si>
  <si>
    <t>IF(A7="","",MAXIFS('Raw Data'!A:A,'Raw Data'!G:G,A7,'Raw Data'!J:J,TEXT($A$4,"mmmm yyyy")))</t>
  </si>
  <si>
    <t>Last Error date Column</t>
  </si>
  <si>
    <t>G7</t>
  </si>
  <si>
    <t>IF(A7="","",IF(C7&gt;D7,"Short",IF(D7&gt;C7,"Excess", "Equal")))</t>
  </si>
  <si>
    <t>Most Common Erorr Column</t>
  </si>
  <si>
    <t>H7</t>
  </si>
  <si>
    <t>IF(A7="","",RANK(B7,B$7:B$9995,0))</t>
  </si>
  <si>
    <t>Helper Column</t>
  </si>
  <si>
    <t>K7</t>
  </si>
  <si>
    <t xml:space="preserve">Month Droplist </t>
  </si>
  <si>
    <t>SORTBY(UNIQUE(FILTER(RawData[Month List],RawData[Month List]&lt;&gt;"")),DATEVALUE("01"&amp;UNIQUE(FILTER(RawData[Month List],RawData[Month List]&lt;&gt;""))))</t>
  </si>
  <si>
    <t>FILTER('Raw Data'!G2:G100004,('Raw Data'!G2:G100004&lt;&gt;"")*('Raw Data'!J2:J100004=TEXT($A$4,"mmmm yyyy")))</t>
  </si>
  <si>
    <t>M7</t>
  </si>
  <si>
    <t xml:space="preserve">Helper Column For Extract Data </t>
  </si>
  <si>
    <t>Storekeeper Monthly Report  ( Sheet )</t>
  </si>
  <si>
    <t xml:space="preserve">Total Error Cases Found </t>
  </si>
  <si>
    <t xml:space="preserve">Total Short Cases Found </t>
  </si>
  <si>
    <t xml:space="preserve">Total Excess Cases Found </t>
  </si>
  <si>
    <t xml:space="preserve">Total Qyt Affected </t>
  </si>
  <si>
    <t>SUM(E7:E1000)</t>
  </si>
  <si>
    <t>Storekeeper ID Column</t>
  </si>
  <si>
    <t>SORTBY(UNIQUE(L7#),COUNTIFS('Raw Data'!H:H,UNIQUE(L7#),'Raw Data'!J:J,TEXT($A$4,"mmmm yyyy")),-1)</t>
  </si>
  <si>
    <t>Error Cases Found Column</t>
  </si>
  <si>
    <t>IF(A7="","",COUNTIFS('Raw Data'!H:H,A7,'Raw Data'!J:J,TEXT($A$4,"mmmm yyyy")))</t>
  </si>
  <si>
    <t>Short Cases Found Column</t>
  </si>
  <si>
    <t>Excess Cases Found Column</t>
  </si>
  <si>
    <t>IF(A7="","",COUNTIFS('Raw Data'!H:H,A8,'Raw Data'!J:J,TEXT($A$4,"mmmm yyyy"),'Raw Data'!E:E,"Short"))</t>
  </si>
  <si>
    <t>IF(A7="","",COUNTIFS('Raw Data'!H:H,A8,'Raw Data'!J:J,TEXT($A$4,"mmmm yyyy"),'Raw Data'!E:E,"Excess"))</t>
  </si>
  <si>
    <t>IF(A7="","",SUMIFS('Raw Data'!D:D,'Raw Data'!H:H,A7,'Raw Data'!J:J,TEXT($A$4,"mmmm yyyy")))</t>
  </si>
  <si>
    <t>IF(A7="","",MAXIFS('Raw Data'!A:A,'Raw Data'!H:H,A7,'Raw Data'!J:J,TEXT($A$4,"mmmm yyyy")))</t>
  </si>
  <si>
    <t>Most Common Error Found Column</t>
  </si>
  <si>
    <t>Rank column</t>
  </si>
  <si>
    <t>J7</t>
  </si>
  <si>
    <t>FILTER('Raw Data'!H2:H100004,('Raw Data'!H2:H100004&lt;&gt;"")*('Raw Data'!J2:J100004=TEXT($A$4,"mmmm yyyy")))</t>
  </si>
  <si>
    <t>L7</t>
  </si>
  <si>
    <t xml:space="preserve">Total Store with Error </t>
  </si>
  <si>
    <t>SUM(B7:B10000)</t>
  </si>
  <si>
    <t xml:space="preserve">Total Error Cases </t>
  </si>
  <si>
    <t xml:space="preserve">Total Short Cases </t>
  </si>
  <si>
    <t>SUM(C7:C10000)</t>
  </si>
  <si>
    <t>Total Excess Cases</t>
  </si>
  <si>
    <t>E3</t>
  </si>
  <si>
    <t>SORTBY(UNIQUE(L7#),COUNTIFS('Raw Data'!F:F,UNIQUE(L7#),'Raw Data'!J:J,TEXT($A$4,"mmmm yyyy")),-1)</t>
  </si>
  <si>
    <t>Tour/Site Column</t>
  </si>
  <si>
    <t>Total Error Column</t>
  </si>
  <si>
    <t>IF(A7="","",COUNTIFS('Raw Data'!F:F,A7,'Raw Data'!J:J,TEXT($A$4,"mmmm yyyy")))</t>
  </si>
  <si>
    <t>Total Short Column</t>
  </si>
  <si>
    <t>Total Excess Column</t>
  </si>
  <si>
    <t>Total Qyt Affected Column</t>
  </si>
  <si>
    <t>IF(A7="","",COUNTIFS('Raw Data'!F:F,A7,'Raw Data'!J:J,TEXT($A$4,"mmmm yyyy"),'Raw Data'!E:E,"Short"))</t>
  </si>
  <si>
    <t>IF(A7="","",COUNTIFS('Raw Data'!F:F,A7,'Raw Data'!J:J,TEXT($A$4,"mmmm yyyy"),'Raw Data'!E:E,"Excess"))</t>
  </si>
  <si>
    <t>IF(A7="","",SUMIFS('Raw Data'!D:D,'Raw Data'!F:F,A7,'Raw Data'!J:J,TEXT($A$4,"mmmm yyyy")))</t>
  </si>
  <si>
    <t>FILTER('Raw Data'!F2:F100004,('Raw Data'!F2:F100004&lt;&gt;"")*('Raw Data'!J2:J100004=TEXT(A$4,"mmmm yyyy")))</t>
  </si>
  <si>
    <t>Tour Analysis ( Sheet)</t>
  </si>
  <si>
    <t>Daily Analysis ( Sheet)</t>
  </si>
  <si>
    <t>Date Column</t>
  </si>
  <si>
    <t>SORT(UNIQUE(M7#),1,1)</t>
  </si>
  <si>
    <t>IF(A7="","",COUNTIFS('Raw Data'!A:A,A7))</t>
  </si>
  <si>
    <t>IF(A7="","",COUNTIFS('Raw Data'!A:A,A7,'Raw Data'!E:E,"Short"))</t>
  </si>
  <si>
    <t>IF(A7="","",COUNTIFS('Raw Data'!A:A,A7,'Raw Data'!E:E,"Excess"))</t>
  </si>
  <si>
    <t>IF(A7="","",SUMIFS('Raw Data'!D:D,'Raw Data'!A:A,A7))</t>
  </si>
  <si>
    <t>FILTER('Raw Data'!A2:A100004,('Raw Data'!A2:A100004&lt;&gt;"")*('Raw Data'!J2:J100004=TEXT($A$4,"mmmm yyyy")))</t>
  </si>
  <si>
    <t>Article Analysis ( Sheet)</t>
  </si>
  <si>
    <t xml:space="preserve">Total Articles with Error </t>
  </si>
  <si>
    <t>SUM(D7:D10000)</t>
  </si>
  <si>
    <t>SUM(E7:E10000)</t>
  </si>
  <si>
    <t>SUM(F7:F10000)</t>
  </si>
  <si>
    <t>Article Column</t>
  </si>
  <si>
    <t>DXB510559</t>
  </si>
  <si>
    <t>DXB495322</t>
  </si>
  <si>
    <t>Yard.R/On A/P Pet.Blossom 50ml</t>
  </si>
  <si>
    <t>Hnz Mayonaise Inc.Light 310ml</t>
  </si>
  <si>
    <t>DXB73808R</t>
  </si>
  <si>
    <t>L/Elv ExtOrdOil Midnt.Serm100m</t>
  </si>
  <si>
    <t>DXB489995</t>
  </si>
  <si>
    <t>Axe Deo C/Lthr+Ckie 2x150ml PO</t>
  </si>
  <si>
    <t>DXB494696</t>
  </si>
  <si>
    <t>DXB486073</t>
  </si>
  <si>
    <t>Colgate T/B Adv. Slim Soft 2s</t>
  </si>
  <si>
    <t>Al Osra Fine Sugar 5kg</t>
  </si>
  <si>
    <t>DXB62350R</t>
  </si>
  <si>
    <t>Brit50-50 MaskaChska 10x62g PO</t>
  </si>
  <si>
    <t>DXB504922</t>
  </si>
  <si>
    <t>DXB442324</t>
  </si>
  <si>
    <t>Dov Shmp Ntr.Sol 2n1 Daily400m</t>
  </si>
  <si>
    <t>DXB76893</t>
  </si>
  <si>
    <t>H/M Handwash 3x500ml P/O Z37</t>
  </si>
  <si>
    <t>R/B Handwash 3x500ml P/O 1139</t>
  </si>
  <si>
    <t>Dov.R/On(W)Moist Original 50ml</t>
  </si>
  <si>
    <t>DXB481085</t>
  </si>
  <si>
    <t>Nezo Iodised Salt Red 600gm</t>
  </si>
  <si>
    <t>Sens.T/P Extra Whitng 75mlx2PO</t>
  </si>
  <si>
    <t>DXB492416</t>
  </si>
  <si>
    <t>Yardly Soap Jasmine 100gm 3's</t>
  </si>
  <si>
    <t>DXB488635</t>
  </si>
  <si>
    <t>DXB492425</t>
  </si>
  <si>
    <t>Lrl Cst.Crm Glos100Blk.Lcrc1pk</t>
  </si>
  <si>
    <t>DXB456417</t>
  </si>
  <si>
    <t>Lyf Kitchn.Cleanr A/Bact 750ml</t>
  </si>
  <si>
    <t>DXB425505</t>
  </si>
  <si>
    <t>Clorx T/BowlCln Fresh709ml 2+1</t>
  </si>
  <si>
    <t>DXB504950</t>
  </si>
  <si>
    <t>Nab Ritz Cracker 39.6g 12s PO</t>
  </si>
  <si>
    <t>Laser D.Rzr 2Bld L/H Bag 10+10</t>
  </si>
  <si>
    <t>DXB509334</t>
  </si>
  <si>
    <t>C/F Wht.M.Tuna/Olive 185gm</t>
  </si>
  <si>
    <t>Lux D/W Sunlight Lemon 1250ml</t>
  </si>
  <si>
    <t>DXB492303</t>
  </si>
  <si>
    <t>DXB497063</t>
  </si>
  <si>
    <t>DXB497086</t>
  </si>
  <si>
    <t>Lrl Cst.Crm Glos513 Iced Trfle</t>
  </si>
  <si>
    <t>Lrl Cast.Crm Gloss LghtBrwn500</t>
  </si>
  <si>
    <t>Nawar Sunflower Oil 3L PO</t>
  </si>
  <si>
    <t>B/C PancakeMix ButrMilk 917gPO</t>
  </si>
  <si>
    <t>DXB484498</t>
  </si>
  <si>
    <t>H&amp;S Shmp.A/D Menthl Frsh 500ml</t>
  </si>
  <si>
    <t>DXB485760</t>
  </si>
  <si>
    <t>Tid TplPr Gel DwyFlor 2x1.8LPO</t>
  </si>
  <si>
    <t>DXB486496</t>
  </si>
  <si>
    <t>AlJazira EV OliveOil Tin 175ml</t>
  </si>
  <si>
    <t>DXB504927</t>
  </si>
  <si>
    <t xml:space="preserve"> Sens.T/P Fluoride 75ml 2s P/O</t>
  </si>
  <si>
    <t>DXB63233R</t>
  </si>
  <si>
    <t>Lfeboy B/Wsh ASF CoolFrsh300ml</t>
  </si>
  <si>
    <t>DXB488647</t>
  </si>
  <si>
    <t>Lulu Prem.Lungo CofeCap10s 55g</t>
  </si>
  <si>
    <t>Trsm.Shmp FlawlesCurl SF 350ml</t>
  </si>
  <si>
    <t>DXB65189</t>
  </si>
  <si>
    <t>Indomie Fried Noodles 5's</t>
  </si>
  <si>
    <t>Indomie Soto Mie Noodles 5's</t>
  </si>
  <si>
    <t>Lipton Tea Dust 400g 2s PO</t>
  </si>
  <si>
    <t>DXB487190</t>
  </si>
  <si>
    <t>Pnt Shmp ProVAHF375m+OilRp275m</t>
  </si>
  <si>
    <t>DXB420499</t>
  </si>
  <si>
    <t>Gr.SA Mic.Wtr SalyAcd400m+Cotn</t>
  </si>
  <si>
    <t>J&amp;J BL Intens 48H Dry-Very400m</t>
  </si>
  <si>
    <t>DXB478379</t>
  </si>
  <si>
    <t>Vegtl H/Serum Argan&amp;Brgraj30ml</t>
  </si>
  <si>
    <t>East Chk.Porichathu Masla 115g</t>
  </si>
  <si>
    <t>Nafed Fennel Seeds 100gm</t>
  </si>
  <si>
    <t>Tde AbyaLqd DrkPrct 2x1.85L PO</t>
  </si>
  <si>
    <t>DXB511009</t>
  </si>
  <si>
    <t>Tata Iodised Salt Red Pk 1kg</t>
  </si>
  <si>
    <t>DwnyAIO Conc.LvndrMsk 2.9L PO</t>
  </si>
  <si>
    <t>Baker Chakki Fresh Atta 2kg</t>
  </si>
  <si>
    <t>Nivea Soft 75ml</t>
  </si>
  <si>
    <t>DXB471901</t>
  </si>
  <si>
    <t>Alfares Breadcrmb Grlc&amp;Hrb300g</t>
  </si>
  <si>
    <t>DXB412854</t>
  </si>
  <si>
    <t>DXB501183</t>
  </si>
  <si>
    <t>H&amp;H Tea Bag Orga Peppermnt 20s</t>
  </si>
  <si>
    <t>DXB453498</t>
  </si>
  <si>
    <t>E/day Black Beans 454g</t>
  </si>
  <si>
    <t xml:space="preserve"> Eastrn Spicy ChickenMasala125g</t>
  </si>
  <si>
    <t>Nestle Condensed Milk Sqz 450g</t>
  </si>
  <si>
    <t>Cerlc B/F Ban.Orng.Bsc 6M+ 90g</t>
  </si>
  <si>
    <t xml:space="preserve"> White Seed</t>
  </si>
  <si>
    <t>DXB411399R</t>
  </si>
  <si>
    <t>Rex.Deo(W) A/P 48H PwdrDry150m</t>
  </si>
  <si>
    <t>DXB57291R</t>
  </si>
  <si>
    <t>Safa Tomato Paste 850g</t>
  </si>
  <si>
    <t>Eastern Coconut Oil 2lt</t>
  </si>
  <si>
    <t>Lulu Canola Oil 1.5lt 2s</t>
  </si>
  <si>
    <t>Signl T/P Nat.Elmnt Charcl 75m</t>
  </si>
  <si>
    <t>Lego Pesto Tradtnl Basil 190g</t>
  </si>
  <si>
    <t>DXB414071R</t>
  </si>
  <si>
    <t>HM Antiseptic 750ml 2s+500ml</t>
  </si>
  <si>
    <t>Finsh PB A/1 Qntm Lemn 21s 2pk</t>
  </si>
  <si>
    <t>DXB413486R</t>
  </si>
  <si>
    <t>Dov.B/Wsh Rst.Ritl Cocnt 500ml</t>
  </si>
  <si>
    <t>DXB481020R</t>
  </si>
  <si>
    <t>Pert Shmp Dmg&amp;Dyd OlvOil 600ml</t>
  </si>
  <si>
    <t>6 M/Dubai Drnk.Water500ml 12s PO</t>
  </si>
  <si>
    <t>DXB504923</t>
  </si>
  <si>
    <t xml:space="preserve">C/G </t>
  </si>
  <si>
    <t>DXB52675R</t>
  </si>
  <si>
    <t>C/G FvaBns Mashd Salsa.Rcp450g</t>
  </si>
  <si>
    <t>J&amp;J Baby Soap 125g 5+1</t>
  </si>
  <si>
    <t>Gerber Bite Tomoto+Carrot 35g</t>
  </si>
  <si>
    <t>Palm.Foamg H/W Lime&amp;Mint 250ml</t>
  </si>
  <si>
    <t>DXB76892</t>
  </si>
  <si>
    <t>Irani Raisin Golden</t>
  </si>
  <si>
    <t>Pringles Chips Sour&amp;Onion 70g</t>
  </si>
  <si>
    <t>DXB462178</t>
  </si>
  <si>
    <t>Clr Shmp(M) A/D ShwrFrsh 400ml</t>
  </si>
  <si>
    <t>DXB487698</t>
  </si>
  <si>
    <t>Surf WP Jasm&amp;FrenchFlw TL 2.4k</t>
  </si>
  <si>
    <t>DXB…......</t>
  </si>
  <si>
    <t>M/Dubai Drnk.Water500ml 12s PO</t>
  </si>
  <si>
    <t>DXB433581</t>
  </si>
  <si>
    <t>Crest Tooth Paste Kids 50ml</t>
  </si>
  <si>
    <t>DXB488630</t>
  </si>
  <si>
    <t>Al Jazira Virgn OliveOil 1ltPO</t>
  </si>
  <si>
    <t>Kotex Nat.Cotn Mxi Nght Wng22s</t>
  </si>
  <si>
    <t>Loreal S/L Invisible Gel 150ml</t>
  </si>
  <si>
    <t>DXB430120R</t>
  </si>
  <si>
    <t>RoyalChef Ponni Boil Rice 5kg</t>
  </si>
  <si>
    <t>Lulu Macaroni Risone 400gm</t>
  </si>
  <si>
    <t>DXB497085</t>
  </si>
  <si>
    <t>C/G Peeld Foul W/Chilly 450g</t>
  </si>
  <si>
    <t>DXB471127</t>
  </si>
  <si>
    <t>Par. C/Bisc.Gold Pineapple 67g</t>
  </si>
  <si>
    <t>C/Up TP WhtFrsh Chrcol Coc75ml</t>
  </si>
  <si>
    <t>H/M Toothpick 280s Sqr. YK0167</t>
  </si>
  <si>
    <t>Colg T/P Total Clean Mint 50ml</t>
  </si>
  <si>
    <t>Heinz Dynamite Sauce Sqz 400ml</t>
  </si>
  <si>
    <t>Det.H/Wash Orgnl 400ml 2s PO</t>
  </si>
  <si>
    <t>Loyal Fab.Softnr Blue Petal 3L</t>
  </si>
  <si>
    <t>Pril D/W UltraPwr Lemn1.25L PO</t>
  </si>
  <si>
    <t>R/B Handwash</t>
  </si>
  <si>
    <t>DXB488644</t>
  </si>
  <si>
    <t>Alodrma Aloe Hydrat.Serum 50ml</t>
  </si>
  <si>
    <t>Balmy Sisal Face&amp;Body Bath Pad</t>
  </si>
  <si>
    <t>C&amp;C F/Scrb M/Enrgy S/Enrgs150m</t>
  </si>
  <si>
    <t>A/Garden AppleCider Vinegar 1L</t>
  </si>
  <si>
    <t>Aptamil Lactose Free 400g 0-6M</t>
  </si>
  <si>
    <t>Oman Chips 97g</t>
  </si>
  <si>
    <t xml:space="preserve"> Brit.Toastea WhtRusk 2x305g PO</t>
  </si>
  <si>
    <t>DXB494649</t>
  </si>
  <si>
    <t>Hnz Thsnd.Islnd Drsng 400ml PO</t>
  </si>
  <si>
    <t>H/P Cont. MW 1000m5s+500m5s PO</t>
  </si>
  <si>
    <t>Najat Bsmti Rice XXXL1121 5kg</t>
  </si>
  <si>
    <t>Nestle Coffeemate 170gm</t>
  </si>
  <si>
    <t>Hug.Dpr Pants#3 6-11kg 44s PO</t>
  </si>
  <si>
    <t>DXB497090</t>
  </si>
  <si>
    <t>F/B InsDry Pant#4 9-15k 44s PO</t>
  </si>
  <si>
    <t>Dove B/W Deep Moisture 400ml</t>
  </si>
  <si>
    <t>Indo Chkn.Curry Nodle 75g 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</si>
</sst>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409]d\-mmm\-yy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horizontal="center" vertical="center"/>
      <protection locked="0"/>
    </xf>
    <xf numFmtId="3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4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6">
    <dxf>
      <font>
        <b/>
        <i val="0"/>
      </font>
      <fill>
        <patternFill>
          <bgColor rgb="FFFF3737"/>
        </patternFill>
      </fill>
    </dxf>
    <dxf>
      <font>
        <b/>
        <i val="0"/>
      </font>
      <fill>
        <patternFill>
          <bgColor rgb="FFFFDF79"/>
        </patternFill>
      </fill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numFmt numFmtId="3" formatCode="#,##0"/>
      <alignment horizontal="center" vertical="center" textRotation="0" wrapText="0" indent="0" justifyLastLine="0" shrinkToFit="0" readingOrder="0"/>
      <protection locked="0" hidden="0"/>
    </dxf>
    <dxf>
      <numFmt numFmtId="30" formatCode="@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165" formatCode="[$-409]d\-mmm\-yyyy;@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colors>
    <mruColors>
      <color rgb="FF075301"/>
      <color rgb="FFFF3B3B"/>
      <color rgb="FFFF4B4B"/>
      <color rgb="FFFFDF79"/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102290</xdr:colOff>
      <xdr:row>0</xdr:row>
      <xdr:rowOff>0</xdr:rowOff>
    </xdr:from>
    <xdr:to>
      <xdr:col>14</xdr:col>
      <xdr:colOff>596348</xdr:colOff>
      <xdr:row>1115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990375A-3928-E8E8-87AB-B9D3FCDFDBCF}"/>
            </a:ext>
          </a:extLst>
        </xdr:cNvPr>
        <xdr:cNvSpPr/>
      </xdr:nvSpPr>
      <xdr:spPr>
        <a:xfrm>
          <a:off x="12335703" y="0"/>
          <a:ext cx="5861188" cy="212407500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3ABA31-9300-4A26-B71B-A6B3170E4C78}" name="RawData" displayName="RawData" ref="A1:L114" totalsRowShown="0" headerRowDxfId="15" dataDxfId="14">
  <autoFilter ref="A1:L114" xr:uid="{503ABA31-9300-4A26-B71B-A6B3170E4C78}"/>
  <sortState xmlns:xlrd2="http://schemas.microsoft.com/office/spreadsheetml/2017/richdata2" ref="A2:I40">
    <sortCondition ref="A1:A40"/>
  </sortState>
  <tableColumns count="12">
    <tableColumn id="1" xr3:uid="{4A498A13-8B50-44A7-BA6D-B317B56447FE}" name="Date " dataDxfId="13"/>
    <tableColumn id="2" xr3:uid="{9BD2B44B-95C8-4E4B-8F92-B6E8838EC6B3}" name="Article " dataDxfId="12"/>
    <tableColumn id="3" xr3:uid="{BDB404B6-C2AA-4508-BA7C-C4BB4583C0E5}" name="Description" dataDxfId="11"/>
    <tableColumn id="4" xr3:uid="{3E58150F-6197-4CF5-ADC1-32DC0C07616E}" name="Qyt Affected ( EA ) " dataDxfId="10"/>
    <tableColumn id="5" xr3:uid="{566C1C25-85AB-4EC5-A07C-0F4A2AF691DA}" name="Error Type " dataDxfId="9"/>
    <tableColumn id="6" xr3:uid="{1028FF8C-2053-4ED0-894B-27AB172ADAAA}" name="Tour/Site" dataDxfId="8"/>
    <tableColumn id="7" xr3:uid="{DEBB2D31-445A-47DF-A5A2-DEEF3AE800D7}" name="Picker ID " dataDxfId="7"/>
    <tableColumn id="8" xr3:uid="{6C34B498-0D7D-4F93-8550-DE0CB794CBF3}" name="Checker ID" dataDxfId="6"/>
    <tableColumn id="9" xr3:uid="{4C5269AD-831A-4508-BC44-9D1822EE4298}" name="Month List" dataDxfId="5">
      <calculatedColumnFormula>IF(A2="","",TEXT(A2,"mmmm yyyy"))</calculatedColumnFormula>
    </tableColumn>
    <tableColumn id="10" xr3:uid="{43205ED1-8706-47F0-A34C-2FE975605375}" name="MatchFlag" dataDxfId="4">
      <calculatedColumnFormula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calculatedColumnFormula>
    </tableColumn>
    <tableColumn id="11" xr3:uid="{5DE56320-5A04-4DF4-90E3-E5489D81FCD5}" name="Picker First" dataDxfId="3">
      <calculatedColumnFormula>IF(AND(RawData[[#This Row],[MatchFlag]]=1,COUNTIFS($G$2:G2,RawData[[#This Row],[Picker ID ]],$I$2:I2,RawData[[#This Row],[Month List]],$J$2:J2,1)=1),1,0)</calculatedColumnFormula>
    </tableColumn>
    <tableColumn id="12" xr3:uid="{33B2A9D8-5F48-4EF0-8D39-22EF61B74782}" name="Checker First" dataDxfId="2">
      <calculatedColumnFormula>IF(AND(RawData[[#This Row],[MatchFlag]]=1,COUNTIFS($H$2:H2,RawData[[#This Row],[Checker ID]],$I$2:I2,RawData[[#This Row],[Month List]],$J$2:J2,1)=1),1,0)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9223-FD28-43C0-8C19-77337FFC94BE}">
  <sheetPr codeName="Sheet3">
    <tabColor theme="9" tint="-0.499984740745262"/>
  </sheetPr>
  <dimension ref="A1:L114"/>
  <sheetViews>
    <sheetView tabSelected="1" topLeftCell="C1" zoomScaleNormal="100" workbookViewId="0">
      <pane ySplit="1" topLeftCell="C59" activePane="bottomLeft" state="frozen"/>
      <selection activeCell="C1" sqref="C1"/>
      <selection pane="bottomLeft" activeCell="A115" sqref="A115"/>
    </sheetView>
  </sheetViews>
  <sheetFormatPr defaultColWidth="9.14453125" defaultRowHeight="15" x14ac:dyDescent="0.2"/>
  <cols>
    <col min="1" max="1" width="18.83203125" style="9" customWidth="1"/>
    <col min="2" max="2" width="17.484375" style="3" customWidth="1"/>
    <col min="3" max="3" width="50.04296875" style="3" customWidth="1"/>
    <col min="4" max="4" width="21.7890625" style="3" customWidth="1"/>
    <col min="5" max="5" width="15.6015625" style="3" customWidth="1"/>
    <col min="6" max="6" width="16.27734375" style="3" customWidth="1"/>
    <col min="7" max="7" width="22.46484375" style="3" customWidth="1"/>
    <col min="8" max="8" width="20.984375" style="3" customWidth="1"/>
    <col min="9" max="9" width="14.9296875" style="1" bestFit="1" customWidth="1"/>
    <col min="10" max="10" width="14.2578125" style="1" customWidth="1"/>
    <col min="11" max="11" width="14.390625" style="1" customWidth="1"/>
    <col min="12" max="12" width="18.4296875" style="1" customWidth="1"/>
    <col min="13" max="16384" width="9.14453125" style="1"/>
  </cols>
  <sheetData>
    <row r="1" spans="1:12" customFormat="1" x14ac:dyDescent="0.2">
      <c r="A1" s="4" t="s">
        <v>0</v>
      </c>
      <c r="B1" s="7" t="s">
        <v>1</v>
      </c>
      <c r="C1" s="4" t="s">
        <v>7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2" t="s">
        <v>11</v>
      </c>
      <c r="J1" s="10" t="s">
        <v>20</v>
      </c>
      <c r="K1" s="10" t="s">
        <v>21</v>
      </c>
      <c r="L1" s="10" t="s">
        <v>22</v>
      </c>
    </row>
    <row r="2" spans="1:12" x14ac:dyDescent="0.2">
      <c r="A2" s="9">
        <v>46211</v>
      </c>
      <c r="B2" s="3">
        <v>936999</v>
      </c>
      <c r="C2" s="6" t="s">
        <v>136</v>
      </c>
      <c r="D2" s="5">
        <v>36</v>
      </c>
      <c r="E2" s="3" t="s">
        <v>8</v>
      </c>
      <c r="F2" s="3">
        <v>2362</v>
      </c>
      <c r="G2" s="3" t="s">
        <v>134</v>
      </c>
      <c r="H2" s="3" t="s">
        <v>135</v>
      </c>
      <c r="I2" s="1" t="str">
        <f t="shared" ref="I2:I33" si="0">IF(A2="","",TEXT(A2,"mmmm yyyy"))</f>
        <v>July 2026</v>
      </c>
      <c r="J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2" s="1" t="e">
        <f>IF(AND(RawData[[#This Row],[MatchFlag]]=1,COUNTIFS($G$2:G2,RawData[[#This Row],[Picker ID ]],$I$2:I2,RawData[[#This Row],[Month List]],$J$2:J2,1)=1),1,0)</f>
        <v>#REF!</v>
      </c>
      <c r="L2" s="1" t="e">
        <f>IF(AND(RawData[[#This Row],[MatchFlag]]=1,COUNTIFS($H$2:H2,RawData[[#This Row],[Checker ID]],$I$2:I2,RawData[[#This Row],[Month List]],$J$2:J2,1)=1),1,0)</f>
        <v>#REF!</v>
      </c>
    </row>
    <row r="3" spans="1:12" x14ac:dyDescent="0.2">
      <c r="A3" s="9">
        <v>46212</v>
      </c>
      <c r="B3" s="3">
        <v>2151167</v>
      </c>
      <c r="C3" s="6" t="s">
        <v>137</v>
      </c>
      <c r="D3" s="5">
        <v>12</v>
      </c>
      <c r="E3" s="3" t="s">
        <v>9</v>
      </c>
      <c r="F3" s="3">
        <v>2300</v>
      </c>
      <c r="G3" s="3" t="s">
        <v>138</v>
      </c>
      <c r="H3" s="3" t="s">
        <v>135</v>
      </c>
      <c r="I3" s="1" t="str">
        <f t="shared" si="0"/>
        <v>July 2026</v>
      </c>
      <c r="J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3" s="1" t="e">
        <f>IF(AND(RawData[[#This Row],[MatchFlag]]=1,COUNTIFS($G$2:G3,RawData[[#This Row],[Picker ID ]],$I$2:I3,RawData[[#This Row],[Month List]],$J$2:J3,1)=1),1,0)</f>
        <v>#REF!</v>
      </c>
      <c r="L3" s="1" t="e">
        <f>IF(AND(RawData[[#This Row],[MatchFlag]]=1,COUNTIFS($H$2:H3,RawData[[#This Row],[Checker ID]],$I$2:I3,RawData[[#This Row],[Month List]],$J$2:J3,1)=1),1,0)</f>
        <v>#REF!</v>
      </c>
    </row>
    <row r="4" spans="1:12" x14ac:dyDescent="0.2">
      <c r="A4" s="9">
        <v>46213</v>
      </c>
      <c r="B4" s="3">
        <v>2259265</v>
      </c>
      <c r="C4" s="3" t="s">
        <v>139</v>
      </c>
      <c r="D4" s="5">
        <v>6</v>
      </c>
      <c r="E4" s="3" t="s">
        <v>8</v>
      </c>
      <c r="F4" s="3">
        <v>2300</v>
      </c>
      <c r="G4" s="3" t="s">
        <v>140</v>
      </c>
      <c r="H4" s="3" t="s">
        <v>135</v>
      </c>
      <c r="I4" s="1" t="str">
        <f t="shared" si="0"/>
        <v>July 2026</v>
      </c>
      <c r="J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4" s="1" t="e">
        <f>IF(AND(RawData[[#This Row],[MatchFlag]]=1,COUNTIFS($G$2:G4,RawData[[#This Row],[Picker ID ]],$I$2:I4,RawData[[#This Row],[Month List]],$J$2:J4,1)=1),1,0)</f>
        <v>#REF!</v>
      </c>
      <c r="L4" s="1" t="e">
        <f>IF(AND(RawData[[#This Row],[MatchFlag]]=1,COUNTIFS($H$2:H4,RawData[[#This Row],[Checker ID]],$I$2:I4,RawData[[#This Row],[Month List]],$J$2:J4,1)=1),1,0)</f>
        <v>#REF!</v>
      </c>
    </row>
    <row r="5" spans="1:12" x14ac:dyDescent="0.2">
      <c r="A5" s="9">
        <v>46213</v>
      </c>
      <c r="B5" s="3">
        <v>1637570</v>
      </c>
      <c r="C5" s="6" t="s">
        <v>141</v>
      </c>
      <c r="D5" s="5">
        <v>12</v>
      </c>
      <c r="E5" s="3" t="s">
        <v>9</v>
      </c>
      <c r="F5" s="3">
        <v>2390</v>
      </c>
      <c r="G5" s="3" t="s">
        <v>142</v>
      </c>
      <c r="H5" s="3" t="s">
        <v>143</v>
      </c>
      <c r="I5" s="1" t="str">
        <f t="shared" si="0"/>
        <v>July 2026</v>
      </c>
      <c r="J5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5" s="1" t="e">
        <f>IF(AND(RawData[[#This Row],[MatchFlag]]=1,COUNTIFS($G$2:G5,RawData[[#This Row],[Picker ID ]],$I$2:I5,RawData[[#This Row],[Month List]],$J$2:J5,1)=1),1,0)</f>
        <v>#REF!</v>
      </c>
      <c r="L5" s="1" t="e">
        <f>IF(AND(RawData[[#This Row],[MatchFlag]]=1,COUNTIFS($H$2:H5,RawData[[#This Row],[Checker ID]],$I$2:I5,RawData[[#This Row],[Month List]],$J$2:J5,1)=1),1,0)</f>
        <v>#REF!</v>
      </c>
    </row>
    <row r="6" spans="1:12" x14ac:dyDescent="0.2">
      <c r="A6" s="9">
        <v>46213</v>
      </c>
      <c r="B6" s="3">
        <v>1428439</v>
      </c>
      <c r="C6" s="6" t="s">
        <v>144</v>
      </c>
      <c r="D6" s="5">
        <v>12</v>
      </c>
      <c r="E6" s="3" t="s">
        <v>8</v>
      </c>
      <c r="F6" s="3">
        <v>2390</v>
      </c>
      <c r="G6" s="3" t="s">
        <v>142</v>
      </c>
      <c r="H6" s="3" t="s">
        <v>143</v>
      </c>
      <c r="I6" s="1" t="str">
        <f t="shared" si="0"/>
        <v>July 2026</v>
      </c>
      <c r="J6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6" s="1" t="e">
        <f>IF(AND(RawData[[#This Row],[MatchFlag]]=1,COUNTIFS($G$2:G6,RawData[[#This Row],[Picker ID ]],$I$2:I6,RawData[[#This Row],[Month List]],$J$2:J6,1)=1),1,0)</f>
        <v>#REF!</v>
      </c>
      <c r="L6" s="1" t="e">
        <f>IF(AND(RawData[[#This Row],[MatchFlag]]=1,COUNTIFS($H$2:H6,RawData[[#This Row],[Checker ID]],$I$2:I6,RawData[[#This Row],[Month List]],$J$2:J6,1)=1),1,0)</f>
        <v>#REF!</v>
      </c>
    </row>
    <row r="7" spans="1:12" x14ac:dyDescent="0.2">
      <c r="A7" s="9">
        <v>46214</v>
      </c>
      <c r="B7" s="3">
        <v>448301</v>
      </c>
      <c r="C7" s="3" t="s">
        <v>145</v>
      </c>
      <c r="D7" s="5">
        <v>4</v>
      </c>
      <c r="E7" s="3" t="s">
        <v>8</v>
      </c>
      <c r="F7" s="3">
        <v>2320</v>
      </c>
      <c r="G7" s="3" t="s">
        <v>146</v>
      </c>
      <c r="H7" s="3" t="s">
        <v>143</v>
      </c>
      <c r="I7" s="1" t="str">
        <f t="shared" si="0"/>
        <v>July 2026</v>
      </c>
      <c r="J7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7" s="1" t="e">
        <f>IF(AND(RawData[[#This Row],[MatchFlag]]=1,COUNTIFS($G$2:G7,RawData[[#This Row],[Picker ID ]],$I$2:I7,RawData[[#This Row],[Month List]],$J$2:J7,1)=1),1,0)</f>
        <v>#REF!</v>
      </c>
      <c r="L7" s="1" t="e">
        <f>IF(AND(RawData[[#This Row],[MatchFlag]]=1,COUNTIFS($H$2:H7,RawData[[#This Row],[Checker ID]],$I$2:I7,RawData[[#This Row],[Month List]],$J$2:J7,1)=1),1,0)</f>
        <v>#REF!</v>
      </c>
    </row>
    <row r="8" spans="1:12" x14ac:dyDescent="0.2">
      <c r="A8" s="9">
        <v>46215</v>
      </c>
      <c r="B8" s="3">
        <v>2500258</v>
      </c>
      <c r="C8" s="6" t="s">
        <v>147</v>
      </c>
      <c r="D8" s="5">
        <v>6</v>
      </c>
      <c r="E8" s="3" t="s">
        <v>8</v>
      </c>
      <c r="F8" s="3">
        <v>2286</v>
      </c>
      <c r="G8" s="3" t="s">
        <v>148</v>
      </c>
      <c r="H8" s="3" t="s">
        <v>149</v>
      </c>
      <c r="I8" s="1" t="str">
        <f t="shared" si="0"/>
        <v>July 2026</v>
      </c>
      <c r="J8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8" s="1" t="e">
        <f>IF(AND(RawData[[#This Row],[MatchFlag]]=1,COUNTIFS($G$2:G8,RawData[[#This Row],[Picker ID ]],$I$2:I8,RawData[[#This Row],[Month List]],$J$2:J8,1)=1),1,0)</f>
        <v>#REF!</v>
      </c>
      <c r="L8" s="1" t="e">
        <f>IF(AND(RawData[[#This Row],[MatchFlag]]=1,COUNTIFS($H$2:H8,RawData[[#This Row],[Checker ID]],$I$2:I8,RawData[[#This Row],[Month List]],$J$2:J8,1)=1),1,0)</f>
        <v>#REF!</v>
      </c>
    </row>
    <row r="9" spans="1:12" x14ac:dyDescent="0.2">
      <c r="A9" s="9">
        <v>46215</v>
      </c>
      <c r="B9" s="3">
        <v>1228381</v>
      </c>
      <c r="C9" s="6" t="s">
        <v>150</v>
      </c>
      <c r="D9" s="5">
        <v>6</v>
      </c>
      <c r="E9" s="3" t="s">
        <v>8</v>
      </c>
      <c r="F9" s="3">
        <v>2270</v>
      </c>
      <c r="G9" s="3" t="s">
        <v>151</v>
      </c>
      <c r="H9" s="3" t="s">
        <v>135</v>
      </c>
      <c r="I9" s="1" t="str">
        <f t="shared" si="0"/>
        <v>July 2026</v>
      </c>
      <c r="J9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9" s="1" t="e">
        <f>IF(AND(RawData[[#This Row],[MatchFlag]]=1,COUNTIFS($G$2:G9,RawData[[#This Row],[Picker ID ]],$I$2:I9,RawData[[#This Row],[Month List]],$J$2:J9,1)=1),1,0)</f>
        <v>#REF!</v>
      </c>
      <c r="L9" s="1" t="e">
        <f>IF(AND(RawData[[#This Row],[MatchFlag]]=1,COUNTIFS($H$2:H9,RawData[[#This Row],[Checker ID]],$I$2:I9,RawData[[#This Row],[Month List]],$J$2:J9,1)=1),1,0)</f>
        <v>#REF!</v>
      </c>
    </row>
    <row r="10" spans="1:12" x14ac:dyDescent="0.2">
      <c r="A10" s="9">
        <v>46216</v>
      </c>
      <c r="B10" s="3">
        <v>1659908</v>
      </c>
      <c r="C10" s="6" t="s">
        <v>152</v>
      </c>
      <c r="D10" s="5">
        <v>6</v>
      </c>
      <c r="E10" s="3" t="s">
        <v>9</v>
      </c>
      <c r="F10" s="3">
        <v>2276</v>
      </c>
      <c r="G10" s="3" t="s">
        <v>140</v>
      </c>
      <c r="H10" s="3" t="s">
        <v>135</v>
      </c>
      <c r="I10" s="1" t="str">
        <f t="shared" si="0"/>
        <v>July 2026</v>
      </c>
      <c r="J10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0" s="1" t="e">
        <f>IF(AND(RawData[[#This Row],[MatchFlag]]=1,COUNTIFS($G$2:G10,RawData[[#This Row],[Picker ID ]],$I$2:I10,RawData[[#This Row],[Month List]],$J$2:J10,1)=1),1,0)</f>
        <v>#REF!</v>
      </c>
      <c r="L10" s="1" t="e">
        <f>IF(AND(RawData[[#This Row],[MatchFlag]]=1,COUNTIFS($H$2:H10,RawData[[#This Row],[Checker ID]],$I$2:I10,RawData[[#This Row],[Month List]],$J$2:J10,1)=1),1,0)</f>
        <v>#REF!</v>
      </c>
    </row>
    <row r="11" spans="1:12" x14ac:dyDescent="0.2">
      <c r="A11" s="9">
        <v>46216</v>
      </c>
      <c r="B11" s="3">
        <v>1696950</v>
      </c>
      <c r="C11" s="6" t="s">
        <v>153</v>
      </c>
      <c r="D11" s="5">
        <v>6</v>
      </c>
      <c r="E11" s="3" t="s">
        <v>8</v>
      </c>
      <c r="F11" s="3">
        <v>2276</v>
      </c>
      <c r="G11" s="3" t="s">
        <v>140</v>
      </c>
      <c r="H11" s="3" t="s">
        <v>135</v>
      </c>
      <c r="I11" s="1" t="str">
        <f t="shared" si="0"/>
        <v>July 2026</v>
      </c>
      <c r="J11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1" s="1" t="e">
        <f>IF(AND(RawData[[#This Row],[MatchFlag]]=1,COUNTIFS($G$2:G11,RawData[[#This Row],[Picker ID ]],$I$2:I11,RawData[[#This Row],[Month List]],$J$2:J11,1)=1),1,0)</f>
        <v>#REF!</v>
      </c>
      <c r="L11" s="1" t="e">
        <f>IF(AND(RawData[[#This Row],[MatchFlag]]=1,COUNTIFS($H$2:H11,RawData[[#This Row],[Checker ID]],$I$2:I11,RawData[[#This Row],[Month List]],$J$2:J11,1)=1),1,0)</f>
        <v>#REF!</v>
      </c>
    </row>
    <row r="12" spans="1:12" x14ac:dyDescent="0.2">
      <c r="A12" s="9">
        <v>46216</v>
      </c>
      <c r="B12" s="3">
        <v>1338814</v>
      </c>
      <c r="C12" s="3" t="s">
        <v>154</v>
      </c>
      <c r="D12" s="5">
        <v>6</v>
      </c>
      <c r="E12" s="3" t="s">
        <v>8</v>
      </c>
      <c r="F12" s="3">
        <v>2300</v>
      </c>
      <c r="G12" s="3" t="s">
        <v>155</v>
      </c>
      <c r="H12" s="3" t="s">
        <v>149</v>
      </c>
      <c r="I12" s="1" t="str">
        <f t="shared" si="0"/>
        <v>July 2026</v>
      </c>
      <c r="J1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2" s="1" t="e">
        <f>IF(AND(RawData[[#This Row],[MatchFlag]]=1,COUNTIFS($G$2:G12,RawData[[#This Row],[Picker ID ]],$I$2:I12,RawData[[#This Row],[Month List]],$J$2:J12,1)=1),1,0)</f>
        <v>#REF!</v>
      </c>
      <c r="L12" s="1" t="e">
        <f>IF(AND(RawData[[#This Row],[MatchFlag]]=1,COUNTIFS($H$2:H12,RawData[[#This Row],[Checker ID]],$I$2:I12,RawData[[#This Row],[Month List]],$J$2:J12,1)=1),1,0)</f>
        <v>#REF!</v>
      </c>
    </row>
    <row r="13" spans="1:12" x14ac:dyDescent="0.2">
      <c r="A13" s="9">
        <v>46216</v>
      </c>
      <c r="B13" s="3">
        <v>23501</v>
      </c>
      <c r="C13" s="6" t="s">
        <v>156</v>
      </c>
      <c r="D13" s="5">
        <v>24</v>
      </c>
      <c r="E13" s="3" t="s">
        <v>8</v>
      </c>
      <c r="F13" s="3">
        <v>2300</v>
      </c>
      <c r="G13" s="3" t="s">
        <v>134</v>
      </c>
      <c r="H13" s="3" t="s">
        <v>135</v>
      </c>
      <c r="I13" s="1" t="str">
        <f t="shared" si="0"/>
        <v>July 2026</v>
      </c>
      <c r="J1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3" s="1" t="e">
        <f>IF(AND(RawData[[#This Row],[MatchFlag]]=1,COUNTIFS($G$2:G13,RawData[[#This Row],[Picker ID ]],$I$2:I13,RawData[[#This Row],[Month List]],$J$2:J13,1)=1),1,0)</f>
        <v>#REF!</v>
      </c>
      <c r="L13" s="1" t="e">
        <f>IF(AND(RawData[[#This Row],[MatchFlag]]=1,COUNTIFS($H$2:H13,RawData[[#This Row],[Checker ID]],$I$2:I13,RawData[[#This Row],[Month List]],$J$2:J13,1)=1),1,0)</f>
        <v>#REF!</v>
      </c>
    </row>
    <row r="14" spans="1:12" x14ac:dyDescent="0.2">
      <c r="A14" s="9">
        <v>46219</v>
      </c>
      <c r="B14" s="3">
        <v>2659981</v>
      </c>
      <c r="C14" s="6" t="s">
        <v>157</v>
      </c>
      <c r="D14" s="5">
        <v>12</v>
      </c>
      <c r="E14" s="3" t="s">
        <v>9</v>
      </c>
      <c r="F14" s="3">
        <v>2270</v>
      </c>
      <c r="G14" s="3" t="s">
        <v>158</v>
      </c>
      <c r="H14" s="3" t="s">
        <v>143</v>
      </c>
      <c r="I14" s="1" t="str">
        <f t="shared" si="0"/>
        <v>July 2026</v>
      </c>
      <c r="J1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4" s="1" t="e">
        <f>IF(AND(RawData[[#This Row],[MatchFlag]]=1,COUNTIFS($G$2:G14,RawData[[#This Row],[Picker ID ]],$I$2:I14,RawData[[#This Row],[Month List]],$J$2:J14,1)=1),1,0)</f>
        <v>#REF!</v>
      </c>
      <c r="L14" s="1" t="e">
        <f>IF(AND(RawData[[#This Row],[MatchFlag]]=1,COUNTIFS($H$2:H14,RawData[[#This Row],[Checker ID]],$I$2:I14,RawData[[#This Row],[Month List]],$J$2:J14,1)=1),1,0)</f>
        <v>#REF!</v>
      </c>
    </row>
    <row r="15" spans="1:12" x14ac:dyDescent="0.2">
      <c r="A15" s="9">
        <v>46220</v>
      </c>
      <c r="B15" s="3">
        <v>9744</v>
      </c>
      <c r="C15" s="6" t="s">
        <v>159</v>
      </c>
      <c r="D15" s="5">
        <v>6</v>
      </c>
      <c r="E15" s="3" t="s">
        <v>9</v>
      </c>
      <c r="F15" s="3">
        <v>2390</v>
      </c>
      <c r="G15" s="3" t="s">
        <v>160</v>
      </c>
      <c r="H15" s="3" t="s">
        <v>161</v>
      </c>
      <c r="I15" s="1" t="str">
        <f t="shared" si="0"/>
        <v>July 2026</v>
      </c>
      <c r="J15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5" s="1" t="e">
        <f>IF(AND(RawData[[#This Row],[MatchFlag]]=1,COUNTIFS($G$2:G15,RawData[[#This Row],[Picker ID ]],$I$2:I15,RawData[[#This Row],[Month List]],$J$2:J15,1)=1),1,0)</f>
        <v>#REF!</v>
      </c>
      <c r="L15" s="1" t="e">
        <f>IF(AND(RawData[[#This Row],[MatchFlag]]=1,COUNTIFS($H$2:H15,RawData[[#This Row],[Checker ID]],$I$2:I15,RawData[[#This Row],[Month List]],$J$2:J15,1)=1),1,0)</f>
        <v>#REF!</v>
      </c>
    </row>
    <row r="16" spans="1:12" x14ac:dyDescent="0.2">
      <c r="A16" s="9">
        <v>46220</v>
      </c>
      <c r="B16" s="3">
        <v>968616</v>
      </c>
      <c r="C16" s="6" t="s">
        <v>162</v>
      </c>
      <c r="D16" s="5">
        <v>3</v>
      </c>
      <c r="E16" s="3" t="s">
        <v>8</v>
      </c>
      <c r="F16" s="3">
        <v>2390</v>
      </c>
      <c r="G16" s="3" t="s">
        <v>160</v>
      </c>
      <c r="H16" s="3" t="s">
        <v>161</v>
      </c>
      <c r="I16" s="1" t="str">
        <f t="shared" si="0"/>
        <v>July 2026</v>
      </c>
      <c r="J16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6" s="1" t="e">
        <f>IF(AND(RawData[[#This Row],[MatchFlag]]=1,COUNTIFS($G$2:G16,RawData[[#This Row],[Picker ID ]],$I$2:I16,RawData[[#This Row],[Month List]],$J$2:J16,1)=1),1,0)</f>
        <v>#REF!</v>
      </c>
      <c r="L16" s="1" t="e">
        <f>IF(AND(RawData[[#This Row],[MatchFlag]]=1,COUNTIFS($H$2:H16,RawData[[#This Row],[Checker ID]],$I$2:I16,RawData[[#This Row],[Month List]],$J$2:J16,1)=1),1,0)</f>
        <v>#REF!</v>
      </c>
    </row>
    <row r="17" spans="1:12" x14ac:dyDescent="0.2">
      <c r="A17" s="9">
        <v>46220</v>
      </c>
      <c r="B17" s="3">
        <v>2325945</v>
      </c>
      <c r="C17" s="6" t="s">
        <v>164</v>
      </c>
      <c r="D17" s="5">
        <v>24</v>
      </c>
      <c r="E17" s="3" t="s">
        <v>9</v>
      </c>
      <c r="F17" s="3">
        <v>2575</v>
      </c>
      <c r="G17" s="3" t="s">
        <v>165</v>
      </c>
      <c r="H17" s="3" t="s">
        <v>135</v>
      </c>
      <c r="I17" s="1" t="str">
        <f t="shared" si="0"/>
        <v>July 2026</v>
      </c>
      <c r="J17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7" s="1" t="e">
        <f>IF(AND(RawData[[#This Row],[MatchFlag]]=1,COUNTIFS($G$2:G17,RawData[[#This Row],[Picker ID ]],$I$2:I17,RawData[[#This Row],[Month List]],$J$2:J17,1)=1),1,0)</f>
        <v>#REF!</v>
      </c>
      <c r="L17" s="1" t="e">
        <f>IF(AND(RawData[[#This Row],[MatchFlag]]=1,COUNTIFS($H$2:H17,RawData[[#This Row],[Checker ID]],$I$2:I17,RawData[[#This Row],[Month List]],$J$2:J17,1)=1),1,0)</f>
        <v>#REF!</v>
      </c>
    </row>
    <row r="18" spans="1:12" x14ac:dyDescent="0.2">
      <c r="A18" s="9">
        <v>46221</v>
      </c>
      <c r="B18" s="3">
        <v>720980</v>
      </c>
      <c r="C18" s="6" t="s">
        <v>166</v>
      </c>
      <c r="D18" s="5">
        <v>4</v>
      </c>
      <c r="E18" s="3" t="s">
        <v>9</v>
      </c>
      <c r="F18" s="3">
        <v>2380</v>
      </c>
      <c r="G18" s="3" t="s">
        <v>167</v>
      </c>
      <c r="H18" s="3" t="s">
        <v>143</v>
      </c>
      <c r="I18" s="1" t="str">
        <f t="shared" si="0"/>
        <v>July 2026</v>
      </c>
      <c r="J18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8" s="1" t="e">
        <f>IF(AND(RawData[[#This Row],[MatchFlag]]=1,COUNTIFS($G$2:G18,RawData[[#This Row],[Picker ID ]],$I$2:I18,RawData[[#This Row],[Month List]],$J$2:J18,1)=1),1,0)</f>
        <v>#REF!</v>
      </c>
      <c r="L18" s="1" t="e">
        <f>IF(AND(RawData[[#This Row],[MatchFlag]]=1,COUNTIFS($H$2:H18,RawData[[#This Row],[Checker ID]],$I$2:I18,RawData[[#This Row],[Month List]],$J$2:J18,1)=1),1,0)</f>
        <v>#REF!</v>
      </c>
    </row>
    <row r="19" spans="1:12" x14ac:dyDescent="0.2">
      <c r="A19" s="9">
        <v>46221</v>
      </c>
      <c r="B19" s="3">
        <v>2127466</v>
      </c>
      <c r="C19" s="6" t="s">
        <v>168</v>
      </c>
      <c r="D19" s="5">
        <v>8</v>
      </c>
      <c r="E19" s="3" t="s">
        <v>8</v>
      </c>
      <c r="F19" s="3">
        <v>2380</v>
      </c>
      <c r="G19" s="3" t="s">
        <v>151</v>
      </c>
      <c r="H19" s="3" t="s">
        <v>161</v>
      </c>
      <c r="I19" s="1" t="str">
        <f t="shared" si="0"/>
        <v>July 2026</v>
      </c>
      <c r="J19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9" s="1" t="e">
        <f>IF(AND(RawData[[#This Row],[MatchFlag]]=1,COUNTIFS($G$2:G19,RawData[[#This Row],[Picker ID ]],$I$2:I19,RawData[[#This Row],[Month List]],$J$2:J19,1)=1),1,0)</f>
        <v>#REF!</v>
      </c>
      <c r="L19" s="1" t="e">
        <f>IF(AND(RawData[[#This Row],[MatchFlag]]=1,COUNTIFS($H$2:H19,RawData[[#This Row],[Checker ID]],$I$2:I19,RawData[[#This Row],[Month List]],$J$2:J19,1)=1),1,0)</f>
        <v>#REF!</v>
      </c>
    </row>
    <row r="20" spans="1:12" x14ac:dyDescent="0.2">
      <c r="A20" s="9">
        <v>46222</v>
      </c>
      <c r="B20" s="3">
        <v>937560</v>
      </c>
      <c r="C20" s="6" t="s">
        <v>169</v>
      </c>
      <c r="D20" s="5">
        <v>9</v>
      </c>
      <c r="E20" s="3" t="s">
        <v>9</v>
      </c>
      <c r="F20" s="3">
        <v>2257</v>
      </c>
      <c r="G20" s="3" t="s">
        <v>170</v>
      </c>
      <c r="H20" s="3" t="s">
        <v>135</v>
      </c>
      <c r="I20" s="1" t="str">
        <f t="shared" si="0"/>
        <v>July 2026</v>
      </c>
      <c r="J20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20" s="1" t="e">
        <f>IF(AND(RawData[[#This Row],[MatchFlag]]=1,COUNTIFS($G$2:G20,RawData[[#This Row],[Picker ID ]],$I$2:I20,RawData[[#This Row],[Month List]],$J$2:J20,1)=1),1,0)</f>
        <v>#REF!</v>
      </c>
      <c r="L20" s="1" t="e">
        <f>IF(AND(RawData[[#This Row],[MatchFlag]]=1,COUNTIFS($H$2:H20,RawData[[#This Row],[Checker ID]],$I$2:I20,RawData[[#This Row],[Month List]],$J$2:J20,1)=1),1,0)</f>
        <v>#REF!</v>
      </c>
    </row>
    <row r="21" spans="1:12" x14ac:dyDescent="0.2">
      <c r="A21" s="9">
        <v>46222</v>
      </c>
      <c r="B21" s="3">
        <v>920389</v>
      </c>
      <c r="C21" s="6" t="s">
        <v>172</v>
      </c>
      <c r="D21" s="5">
        <v>12</v>
      </c>
      <c r="E21" s="3" t="s">
        <v>9</v>
      </c>
      <c r="F21" s="3">
        <v>2394</v>
      </c>
      <c r="G21" s="3" t="s">
        <v>173</v>
      </c>
      <c r="H21" s="3" t="s">
        <v>135</v>
      </c>
      <c r="I21" s="1" t="str">
        <f t="shared" si="0"/>
        <v>July 2026</v>
      </c>
      <c r="J21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21" s="1" t="e">
        <f>IF(AND(RawData[[#This Row],[MatchFlag]]=1,COUNTIFS($G$2:G21,RawData[[#This Row],[Picker ID ]],$I$2:I21,RawData[[#This Row],[Month List]],$J$2:J21,1)=1),1,0)</f>
        <v>#REF!</v>
      </c>
      <c r="L21" s="1" t="e">
        <f>IF(AND(RawData[[#This Row],[MatchFlag]]=1,COUNTIFS($H$2:H21,RawData[[#This Row],[Checker ID]],$I$2:I21,RawData[[#This Row],[Month List]],$J$2:J21,1)=1),1,0)</f>
        <v>#REF!</v>
      </c>
    </row>
    <row r="22" spans="1:12" x14ac:dyDescent="0.2">
      <c r="A22" s="9">
        <v>46222</v>
      </c>
      <c r="B22" s="3">
        <v>94621</v>
      </c>
      <c r="C22" s="6" t="s">
        <v>171</v>
      </c>
      <c r="D22" s="5">
        <v>48</v>
      </c>
      <c r="E22" s="3" t="s">
        <v>9</v>
      </c>
      <c r="F22" s="3">
        <v>2380</v>
      </c>
      <c r="G22" s="3" t="s">
        <v>175</v>
      </c>
      <c r="H22" s="3" t="s">
        <v>161</v>
      </c>
      <c r="I22" s="1" t="str">
        <f t="shared" si="0"/>
        <v>July 2026</v>
      </c>
      <c r="J2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22" s="1" t="e">
        <f>IF(AND(RawData[[#This Row],[MatchFlag]]=1,COUNTIFS($G$2:G22,RawData[[#This Row],[Picker ID ]],$I$2:I22,RawData[[#This Row],[Month List]],$J$2:J22,1)=1),1,0)</f>
        <v>#REF!</v>
      </c>
      <c r="L22" s="1" t="e">
        <f>IF(AND(RawData[[#This Row],[MatchFlag]]=1,COUNTIFS($H$2:H22,RawData[[#This Row],[Checker ID]],$I$2:I22,RawData[[#This Row],[Month List]],$J$2:J22,1)=1),1,0)</f>
        <v>#REF!</v>
      </c>
    </row>
    <row r="23" spans="1:12" x14ac:dyDescent="0.2">
      <c r="A23" s="9">
        <v>46224</v>
      </c>
      <c r="B23" s="3">
        <v>781599</v>
      </c>
      <c r="C23" s="6" t="s">
        <v>176</v>
      </c>
      <c r="D23" s="5">
        <v>3</v>
      </c>
      <c r="E23" s="3" t="s">
        <v>9</v>
      </c>
      <c r="F23" s="3">
        <v>2382</v>
      </c>
      <c r="G23" s="3" t="s">
        <v>174</v>
      </c>
      <c r="H23" s="3" t="s">
        <v>161</v>
      </c>
      <c r="I23" s="1" t="str">
        <f t="shared" si="0"/>
        <v>July 2026</v>
      </c>
      <c r="J2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23" s="1" t="e">
        <f>IF(AND(RawData[[#This Row],[MatchFlag]]=1,COUNTIFS($G$2:G23,RawData[[#This Row],[Picker ID ]],$I$2:I23,RawData[[#This Row],[Month List]],$J$2:J23,1)=1),1,0)</f>
        <v>#REF!</v>
      </c>
      <c r="L23" s="1" t="e">
        <f>IF(AND(RawData[[#This Row],[MatchFlag]]=1,COUNTIFS($H$2:H23,RawData[[#This Row],[Checker ID]],$I$2:I23,RawData[[#This Row],[Month List]],$J$2:J23,1)=1),1,0)</f>
        <v>#REF!</v>
      </c>
    </row>
    <row r="24" spans="1:12" x14ac:dyDescent="0.2">
      <c r="A24" s="9">
        <v>46224</v>
      </c>
      <c r="B24" s="3">
        <v>651740</v>
      </c>
      <c r="C24" s="6" t="s">
        <v>177</v>
      </c>
      <c r="D24" s="5">
        <v>3</v>
      </c>
      <c r="E24" s="3" t="s">
        <v>8</v>
      </c>
      <c r="F24" s="3">
        <v>2382</v>
      </c>
      <c r="G24" s="3" t="s">
        <v>174</v>
      </c>
      <c r="H24" s="3" t="s">
        <v>161</v>
      </c>
      <c r="I24" s="1" t="str">
        <f t="shared" si="0"/>
        <v>July 2026</v>
      </c>
      <c r="J2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24" s="1" t="e">
        <f>IF(AND(RawData[[#This Row],[MatchFlag]]=1,COUNTIFS($G$2:G24,RawData[[#This Row],[Picker ID ]],$I$2:I24,RawData[[#This Row],[Month List]],$J$2:J24,1)=1),1,0)</f>
        <v>#REF!</v>
      </c>
      <c r="L24" s="1" t="e">
        <f>IF(AND(RawData[[#This Row],[MatchFlag]]=1,COUNTIFS($H$2:H24,RawData[[#This Row],[Checker ID]],$I$2:I24,RawData[[#This Row],[Month List]],$J$2:J24,1)=1),1,0)</f>
        <v>#REF!</v>
      </c>
    </row>
    <row r="25" spans="1:12" x14ac:dyDescent="0.2">
      <c r="A25" s="9">
        <v>46225</v>
      </c>
      <c r="B25" s="3">
        <v>2583197</v>
      </c>
      <c r="C25" s="6" t="s">
        <v>178</v>
      </c>
      <c r="D25" s="5">
        <v>4</v>
      </c>
      <c r="E25" s="3" t="s">
        <v>8</v>
      </c>
      <c r="F25" s="3">
        <v>2252</v>
      </c>
      <c r="G25" s="3" t="s">
        <v>148</v>
      </c>
      <c r="H25" s="3" t="s">
        <v>161</v>
      </c>
      <c r="I25" s="1" t="str">
        <f t="shared" si="0"/>
        <v>July 2026</v>
      </c>
      <c r="J25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25" s="1" t="e">
        <f>IF(AND(RawData[[#This Row],[MatchFlag]]=1,COUNTIFS($G$2:G25,RawData[[#This Row],[Picker ID ]],$I$2:I25,RawData[[#This Row],[Month List]],$J$2:J25,1)=1),1,0)</f>
        <v>#REF!</v>
      </c>
      <c r="L25" s="1" t="e">
        <f>IF(AND(RawData[[#This Row],[MatchFlag]]=1,COUNTIFS($H$2:H25,RawData[[#This Row],[Checker ID]],$I$2:I25,RawData[[#This Row],[Month List]],$J$2:J25,1)=1),1,0)</f>
        <v>#REF!</v>
      </c>
    </row>
    <row r="26" spans="1:12" x14ac:dyDescent="0.2">
      <c r="A26" s="9">
        <v>46225</v>
      </c>
      <c r="B26" s="3">
        <v>1796410</v>
      </c>
      <c r="C26" s="6" t="s">
        <v>179</v>
      </c>
      <c r="D26" s="5">
        <v>15</v>
      </c>
      <c r="E26" s="3" t="s">
        <v>9</v>
      </c>
      <c r="F26" s="3">
        <v>2286</v>
      </c>
      <c r="G26" s="3" t="s">
        <v>180</v>
      </c>
      <c r="H26" s="3" t="s">
        <v>149</v>
      </c>
      <c r="I26" s="1" t="str">
        <f t="shared" si="0"/>
        <v>July 2026</v>
      </c>
      <c r="J26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26" s="1" t="e">
        <f>IF(AND(RawData[[#This Row],[MatchFlag]]=1,COUNTIFS($G$2:G26,RawData[[#This Row],[Picker ID ]],$I$2:I26,RawData[[#This Row],[Month List]],$J$2:J26,1)=1),1,0)</f>
        <v>#REF!</v>
      </c>
      <c r="L26" s="1" t="e">
        <f>IF(AND(RawData[[#This Row],[MatchFlag]]=1,COUNTIFS($H$2:H26,RawData[[#This Row],[Checker ID]],$I$2:I26,RawData[[#This Row],[Month List]],$J$2:J26,1)=1),1,0)</f>
        <v>#REF!</v>
      </c>
    </row>
    <row r="27" spans="1:12" x14ac:dyDescent="0.2">
      <c r="A27" s="9">
        <v>46225</v>
      </c>
      <c r="B27" s="3">
        <v>2573740</v>
      </c>
      <c r="C27" s="6" t="s">
        <v>181</v>
      </c>
      <c r="D27" s="5">
        <v>6</v>
      </c>
      <c r="E27" s="3" t="s">
        <v>9</v>
      </c>
      <c r="F27" s="3">
        <v>2410</v>
      </c>
      <c r="G27" s="3" t="s">
        <v>182</v>
      </c>
      <c r="H27" s="3" t="s">
        <v>149</v>
      </c>
      <c r="I27" s="1" t="str">
        <f t="shared" si="0"/>
        <v>July 2026</v>
      </c>
      <c r="J27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27" s="1" t="e">
        <f>IF(AND(RawData[[#This Row],[MatchFlag]]=1,COUNTIFS($G$2:G27,RawData[[#This Row],[Picker ID ]],$I$2:I27,RawData[[#This Row],[Month List]],$J$2:J27,1)=1),1,0)</f>
        <v>#REF!</v>
      </c>
      <c r="L27" s="1" t="e">
        <f>IF(AND(RawData[[#This Row],[MatchFlag]]=1,COUNTIFS($H$2:H27,RawData[[#This Row],[Checker ID]],$I$2:I27,RawData[[#This Row],[Month List]],$J$2:J27,1)=1),1,0)</f>
        <v>#REF!</v>
      </c>
    </row>
    <row r="28" spans="1:12" x14ac:dyDescent="0.2">
      <c r="A28" s="9">
        <v>46225</v>
      </c>
      <c r="B28" s="3">
        <v>2334287</v>
      </c>
      <c r="C28" s="6" t="s">
        <v>183</v>
      </c>
      <c r="D28" s="5">
        <v>2</v>
      </c>
      <c r="E28" s="3" t="s">
        <v>9</v>
      </c>
      <c r="F28" s="3">
        <v>2255</v>
      </c>
      <c r="G28" s="3" t="s">
        <v>184</v>
      </c>
      <c r="H28" s="3" t="s">
        <v>163</v>
      </c>
      <c r="I28" s="1" t="str">
        <f t="shared" si="0"/>
        <v>July 2026</v>
      </c>
      <c r="J28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28" s="1" t="e">
        <f>IF(AND(RawData[[#This Row],[MatchFlag]]=1,COUNTIFS($G$2:G28,RawData[[#This Row],[Picker ID ]],$I$2:I28,RawData[[#This Row],[Month List]],$J$2:J28,1)=1),1,0)</f>
        <v>#REF!</v>
      </c>
      <c r="L28" s="1" t="e">
        <f>IF(AND(RawData[[#This Row],[MatchFlag]]=1,COUNTIFS($H$2:H28,RawData[[#This Row],[Checker ID]],$I$2:I28,RawData[[#This Row],[Month List]],$J$2:J28,1)=1),1,0)</f>
        <v>#REF!</v>
      </c>
    </row>
    <row r="29" spans="1:12" x14ac:dyDescent="0.2">
      <c r="A29" s="9">
        <v>46226</v>
      </c>
      <c r="B29" s="3">
        <v>2363619</v>
      </c>
      <c r="C29" s="6" t="s">
        <v>185</v>
      </c>
      <c r="D29" s="5">
        <v>20</v>
      </c>
      <c r="E29" s="3" t="s">
        <v>9</v>
      </c>
      <c r="F29" s="3">
        <v>2490</v>
      </c>
      <c r="G29" s="3" t="s">
        <v>186</v>
      </c>
      <c r="H29" s="3" t="s">
        <v>161</v>
      </c>
      <c r="I29" s="1" t="str">
        <f t="shared" si="0"/>
        <v>July 2026</v>
      </c>
      <c r="J29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29" s="1" t="e">
        <f>IF(AND(RawData[[#This Row],[MatchFlag]]=1,COUNTIFS($G$2:G29,RawData[[#This Row],[Picker ID ]],$I$2:I29,RawData[[#This Row],[Month List]],$J$2:J29,1)=1),1,0)</f>
        <v>#REF!</v>
      </c>
      <c r="L29" s="1" t="e">
        <f>IF(AND(RawData[[#This Row],[MatchFlag]]=1,COUNTIFS($H$2:H29,RawData[[#This Row],[Checker ID]],$I$2:I29,RawData[[#This Row],[Month List]],$J$2:J29,1)=1),1,0)</f>
        <v>#REF!</v>
      </c>
    </row>
    <row r="30" spans="1:12" x14ac:dyDescent="0.2">
      <c r="A30" s="9">
        <v>46226</v>
      </c>
      <c r="B30" s="3">
        <v>1209271</v>
      </c>
      <c r="C30" s="6" t="s">
        <v>187</v>
      </c>
      <c r="D30" s="5">
        <v>12</v>
      </c>
      <c r="E30" s="3" t="s">
        <v>9</v>
      </c>
      <c r="F30" s="3">
        <v>2344</v>
      </c>
      <c r="G30" s="3" t="s">
        <v>188</v>
      </c>
      <c r="H30" s="3" t="s">
        <v>135</v>
      </c>
      <c r="I30" s="1" t="str">
        <f t="shared" si="0"/>
        <v>July 2026</v>
      </c>
      <c r="J30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30" s="1" t="e">
        <f>IF(AND(RawData[[#This Row],[MatchFlag]]=1,COUNTIFS($G$2:G30,RawData[[#This Row],[Picker ID ]],$I$2:I30,RawData[[#This Row],[Month List]],$J$2:J30,1)=1),1,0)</f>
        <v>#REF!</v>
      </c>
      <c r="L30" s="1" t="e">
        <f>IF(AND(RawData[[#This Row],[MatchFlag]]=1,COUNTIFS($H$2:H30,RawData[[#This Row],[Checker ID]],$I$2:I30,RawData[[#This Row],[Month List]],$J$2:J30,1)=1),1,0)</f>
        <v>#REF!</v>
      </c>
    </row>
    <row r="31" spans="1:12" x14ac:dyDescent="0.2">
      <c r="A31" s="9">
        <v>46226</v>
      </c>
      <c r="B31" s="3">
        <v>437782</v>
      </c>
      <c r="C31" s="6" t="s">
        <v>189</v>
      </c>
      <c r="D31" s="5">
        <v>6</v>
      </c>
      <c r="E31" s="3" t="s">
        <v>8</v>
      </c>
      <c r="F31" s="3">
        <v>2490</v>
      </c>
      <c r="G31" s="3" t="s">
        <v>190</v>
      </c>
      <c r="H31" s="3" t="s">
        <v>149</v>
      </c>
      <c r="I31" s="1" t="str">
        <f t="shared" si="0"/>
        <v>July 2026</v>
      </c>
      <c r="J31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31" s="1" t="e">
        <f>IF(AND(RawData[[#This Row],[MatchFlag]]=1,COUNTIFS($G$2:G31,RawData[[#This Row],[Picker ID ]],$I$2:I31,RawData[[#This Row],[Month List]],$J$2:J31,1)=1),1,0)</f>
        <v>#REF!</v>
      </c>
      <c r="L31" s="1" t="e">
        <f>IF(AND(RawData[[#This Row],[MatchFlag]]=1,COUNTIFS($H$2:H31,RawData[[#This Row],[Checker ID]],$I$2:I31,RawData[[#This Row],[Month List]],$J$2:J31,1)=1),1,0)</f>
        <v>#REF!</v>
      </c>
    </row>
    <row r="32" spans="1:12" x14ac:dyDescent="0.2">
      <c r="A32" s="9">
        <v>46227</v>
      </c>
      <c r="B32" s="3">
        <v>2575152</v>
      </c>
      <c r="C32" s="6" t="s">
        <v>191</v>
      </c>
      <c r="D32" s="5">
        <v>50</v>
      </c>
      <c r="E32" s="3" t="s">
        <v>9</v>
      </c>
      <c r="F32" s="3">
        <v>2320</v>
      </c>
      <c r="G32" s="3" t="s">
        <v>167</v>
      </c>
      <c r="H32" s="3" t="s">
        <v>161</v>
      </c>
      <c r="I32" s="1" t="str">
        <f t="shared" si="0"/>
        <v>July 2026</v>
      </c>
      <c r="J3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32" s="1" t="e">
        <f>IF(AND(RawData[[#This Row],[MatchFlag]]=1,COUNTIFS($G$2:G32,RawData[[#This Row],[Picker ID ]],$I$2:I32,RawData[[#This Row],[Month List]],$J$2:J32,1)=1),1,0)</f>
        <v>#REF!</v>
      </c>
      <c r="L32" s="1" t="e">
        <f>IF(AND(RawData[[#This Row],[MatchFlag]]=1,COUNTIFS($H$2:H32,RawData[[#This Row],[Checker ID]],$I$2:I32,RawData[[#This Row],[Month List]],$J$2:J32,1)=1),1,0)</f>
        <v>#REF!</v>
      </c>
    </row>
    <row r="33" spans="1:12" x14ac:dyDescent="0.2">
      <c r="A33" s="9">
        <v>46228</v>
      </c>
      <c r="B33" s="3">
        <v>2535441</v>
      </c>
      <c r="C33" s="6" t="s">
        <v>192</v>
      </c>
      <c r="D33" s="5">
        <v>6</v>
      </c>
      <c r="E33" s="3" t="s">
        <v>9</v>
      </c>
      <c r="F33" s="3">
        <v>2410</v>
      </c>
      <c r="G33" s="3" t="s">
        <v>193</v>
      </c>
      <c r="H33" s="3" t="s">
        <v>161</v>
      </c>
      <c r="I33" s="1" t="str">
        <f t="shared" si="0"/>
        <v>July 2026</v>
      </c>
      <c r="J3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33" s="1" t="e">
        <f>IF(AND(RawData[[#This Row],[MatchFlag]]=1,COUNTIFS($G$2:G33,RawData[[#This Row],[Picker ID ]],$I$2:I33,RawData[[#This Row],[Month List]],$J$2:J33,1)=1),1,0)</f>
        <v>#REF!</v>
      </c>
      <c r="L33" s="1" t="e">
        <f>IF(AND(RawData[[#This Row],[MatchFlag]]=1,COUNTIFS($H$2:H33,RawData[[#This Row],[Checker ID]],$I$2:I33,RawData[[#This Row],[Month List]],$J$2:J33,1)=1),1,0)</f>
        <v>#REF!</v>
      </c>
    </row>
    <row r="34" spans="1:12" x14ac:dyDescent="0.2">
      <c r="A34" s="9">
        <v>46227</v>
      </c>
      <c r="B34" s="3">
        <v>17909</v>
      </c>
      <c r="C34" s="6" t="s">
        <v>194</v>
      </c>
      <c r="D34" s="5">
        <v>16</v>
      </c>
      <c r="E34" s="3" t="s">
        <v>9</v>
      </c>
      <c r="F34" s="3">
        <v>2344</v>
      </c>
      <c r="G34" s="3" t="s">
        <v>140</v>
      </c>
      <c r="H34" s="3" t="s">
        <v>163</v>
      </c>
      <c r="I34" s="1" t="str">
        <f t="shared" ref="I34:I65" si="1">IF(A34="","",TEXT(A34,"mmmm yyyy"))</f>
        <v>July 2026</v>
      </c>
      <c r="J3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34" s="1" t="e">
        <f>IF(AND(RawData[[#This Row],[MatchFlag]]=1,COUNTIFS($G$2:G34,RawData[[#This Row],[Picker ID ]],$I$2:I34,RawData[[#This Row],[Month List]],$J$2:J34,1)=1),1,0)</f>
        <v>#REF!</v>
      </c>
      <c r="L34" s="1" t="e">
        <f>IF(AND(RawData[[#This Row],[MatchFlag]]=1,COUNTIFS($H$2:H34,RawData[[#This Row],[Checker ID]],$I$2:I34,RawData[[#This Row],[Month List]],$J$2:J34,1)=1),1,0)</f>
        <v>#REF!</v>
      </c>
    </row>
    <row r="35" spans="1:12" x14ac:dyDescent="0.2">
      <c r="A35" s="9">
        <v>46227</v>
      </c>
      <c r="B35" s="3">
        <v>17198</v>
      </c>
      <c r="C35" s="6" t="s">
        <v>195</v>
      </c>
      <c r="D35" s="5">
        <v>8</v>
      </c>
      <c r="E35" s="3" t="s">
        <v>8</v>
      </c>
      <c r="F35" s="3">
        <v>2344</v>
      </c>
      <c r="G35" s="3" t="s">
        <v>140</v>
      </c>
      <c r="H35" s="3" t="s">
        <v>163</v>
      </c>
      <c r="I35" s="1" t="str">
        <f t="shared" si="1"/>
        <v>July 2026</v>
      </c>
      <c r="J35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35" s="1" t="e">
        <f>IF(AND(RawData[[#This Row],[MatchFlag]]=1,COUNTIFS($G$2:G35,RawData[[#This Row],[Picker ID ]],$I$2:I35,RawData[[#This Row],[Month List]],$J$2:J35,1)=1),1,0)</f>
        <v>#REF!</v>
      </c>
      <c r="L35" s="1" t="e">
        <f>IF(AND(RawData[[#This Row],[MatchFlag]]=1,COUNTIFS($H$2:H35,RawData[[#This Row],[Checker ID]],$I$2:I35,RawData[[#This Row],[Month List]],$J$2:J35,1)=1),1,0)</f>
        <v>#REF!</v>
      </c>
    </row>
    <row r="36" spans="1:12" x14ac:dyDescent="0.2">
      <c r="A36" s="9">
        <v>46227</v>
      </c>
      <c r="B36" s="3">
        <v>964460</v>
      </c>
      <c r="C36" s="6" t="s">
        <v>196</v>
      </c>
      <c r="D36" s="5">
        <v>12</v>
      </c>
      <c r="E36" s="3" t="s">
        <v>9</v>
      </c>
      <c r="F36" s="3">
        <v>2270</v>
      </c>
      <c r="G36" s="3" t="s">
        <v>197</v>
      </c>
      <c r="H36" s="3" t="s">
        <v>163</v>
      </c>
      <c r="I36" s="1" t="str">
        <f t="shared" si="1"/>
        <v>July 2026</v>
      </c>
      <c r="J36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36" s="1" t="e">
        <f>IF(AND(RawData[[#This Row],[MatchFlag]]=1,COUNTIFS($G$2:G36,RawData[[#This Row],[Picker ID ]],$I$2:I36,RawData[[#This Row],[Month List]],$J$2:J36,1)=1),1,0)</f>
        <v>#REF!</v>
      </c>
      <c r="L36" s="1" t="e">
        <f>IF(AND(RawData[[#This Row],[MatchFlag]]=1,COUNTIFS($H$2:H36,RawData[[#This Row],[Checker ID]],$I$2:I36,RawData[[#This Row],[Month List]],$J$2:J36,1)=1),1,0)</f>
        <v>#REF!</v>
      </c>
    </row>
    <row r="37" spans="1:12" x14ac:dyDescent="0.2">
      <c r="A37" s="8">
        <v>46228</v>
      </c>
      <c r="B37" s="3">
        <v>2619194</v>
      </c>
      <c r="C37" s="6" t="s">
        <v>198</v>
      </c>
      <c r="D37" s="5">
        <v>12</v>
      </c>
      <c r="E37" s="3" t="s">
        <v>9</v>
      </c>
      <c r="F37" s="3">
        <v>2390</v>
      </c>
      <c r="G37" s="3" t="s">
        <v>199</v>
      </c>
      <c r="H37" s="3" t="s">
        <v>161</v>
      </c>
      <c r="I37" s="1" t="str">
        <f t="shared" si="1"/>
        <v>July 2026</v>
      </c>
      <c r="J37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37" s="1" t="e">
        <f>IF(AND(RawData[[#This Row],[MatchFlag]]=1,COUNTIFS($G$2:G37,RawData[[#This Row],[Picker ID ]],$I$2:I37,RawData[[#This Row],[Month List]],$J$2:J37,1)=1),1,0)</f>
        <v>#REF!</v>
      </c>
      <c r="L37" s="1" t="e">
        <f>IF(AND(RawData[[#This Row],[MatchFlag]]=1,COUNTIFS($H$2:H37,RawData[[#This Row],[Checker ID]],$I$2:I37,RawData[[#This Row],[Month List]],$J$2:J37,1)=1),1,0)</f>
        <v>#REF!</v>
      </c>
    </row>
    <row r="38" spans="1:12" x14ac:dyDescent="0.2">
      <c r="A38" s="8">
        <v>46228</v>
      </c>
      <c r="B38" s="3">
        <v>2163222</v>
      </c>
      <c r="C38" s="6" t="s">
        <v>200</v>
      </c>
      <c r="D38" s="5">
        <v>12</v>
      </c>
      <c r="E38" s="3" t="s">
        <v>8</v>
      </c>
      <c r="F38" s="3">
        <v>2390</v>
      </c>
      <c r="G38" s="3" t="s">
        <v>199</v>
      </c>
      <c r="H38" s="3" t="s">
        <v>161</v>
      </c>
      <c r="I38" s="1" t="str">
        <f t="shared" si="1"/>
        <v>July 2026</v>
      </c>
      <c r="J38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38" s="1" t="e">
        <f>IF(AND(RawData[[#This Row],[MatchFlag]]=1,COUNTIFS($G$2:G38,RawData[[#This Row],[Picker ID ]],$I$2:I38,RawData[[#This Row],[Month List]],$J$2:J38,1)=1),1,0)</f>
        <v>#REF!</v>
      </c>
      <c r="L38" s="1" t="e">
        <f>IF(AND(RawData[[#This Row],[MatchFlag]]=1,COUNTIFS($H$2:H38,RawData[[#This Row],[Checker ID]],$I$2:I38,RawData[[#This Row],[Month List]],$J$2:J38,1)=1),1,0)</f>
        <v>#REF!</v>
      </c>
    </row>
    <row r="39" spans="1:12" x14ac:dyDescent="0.2">
      <c r="A39" s="8">
        <v>46227</v>
      </c>
      <c r="B39" s="3">
        <v>1864952</v>
      </c>
      <c r="C39" s="6" t="s">
        <v>201</v>
      </c>
      <c r="D39" s="5">
        <v>12</v>
      </c>
      <c r="E39" s="3" t="s">
        <v>9</v>
      </c>
      <c r="F39" s="3">
        <v>2270</v>
      </c>
      <c r="G39" s="3" t="s">
        <v>202</v>
      </c>
      <c r="H39" s="3" t="s">
        <v>149</v>
      </c>
      <c r="I39" s="1" t="str">
        <f t="shared" si="1"/>
        <v>July 2026</v>
      </c>
      <c r="J39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39" s="1" t="e">
        <f>IF(AND(RawData[[#This Row],[MatchFlag]]=1,COUNTIFS($G$2:G39,RawData[[#This Row],[Picker ID ]],$I$2:I39,RawData[[#This Row],[Month List]],$J$2:J39,1)=1),1,0)</f>
        <v>#REF!</v>
      </c>
      <c r="L39" s="1" t="e">
        <f>IF(AND(RawData[[#This Row],[MatchFlag]]=1,COUNTIFS($H$2:H39,RawData[[#This Row],[Checker ID]],$I$2:I39,RawData[[#This Row],[Month List]],$J$2:J39,1)=1),1,0)</f>
        <v>#REF!</v>
      </c>
    </row>
    <row r="40" spans="1:12" x14ac:dyDescent="0.2">
      <c r="A40" s="8">
        <v>46227</v>
      </c>
      <c r="B40" s="3">
        <v>2597662</v>
      </c>
      <c r="C40" s="6" t="s">
        <v>203</v>
      </c>
      <c r="D40" s="5">
        <v>12</v>
      </c>
      <c r="E40" s="3" t="s">
        <v>8</v>
      </c>
      <c r="F40" s="3">
        <v>2270</v>
      </c>
      <c r="G40" s="3" t="s">
        <v>202</v>
      </c>
      <c r="H40" s="3" t="s">
        <v>149</v>
      </c>
      <c r="I40" s="1" t="str">
        <f t="shared" si="1"/>
        <v>July 2026</v>
      </c>
      <c r="J40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40" s="1" t="e">
        <f>IF(AND(RawData[[#This Row],[MatchFlag]]=1,COUNTIFS($G$2:G40,RawData[[#This Row],[Picker ID ]],$I$2:I40,RawData[[#This Row],[Month List]],$J$2:J40,1)=1),1,0)</f>
        <v>#REF!</v>
      </c>
      <c r="L40" s="1" t="e">
        <f>IF(AND(RawData[[#This Row],[MatchFlag]]=1,COUNTIFS($H$2:H40,RawData[[#This Row],[Checker ID]],$I$2:I40,RawData[[#This Row],[Month List]],$J$2:J40,1)=1),1,0)</f>
        <v>#REF!</v>
      </c>
    </row>
    <row r="41" spans="1:12" x14ac:dyDescent="0.2">
      <c r="A41" s="8">
        <v>46229</v>
      </c>
      <c r="B41" s="3">
        <v>2331631</v>
      </c>
      <c r="C41" s="6" t="s">
        <v>204</v>
      </c>
      <c r="D41" s="5">
        <v>6</v>
      </c>
      <c r="E41" s="3" t="s">
        <v>9</v>
      </c>
      <c r="F41" s="3">
        <v>2392</v>
      </c>
      <c r="G41" s="3" t="s">
        <v>170</v>
      </c>
      <c r="H41" s="3" t="s">
        <v>135</v>
      </c>
      <c r="I41" s="1" t="str">
        <f t="shared" si="1"/>
        <v>July 2026</v>
      </c>
      <c r="J41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41" s="1" t="e">
        <f>IF(AND(RawData[[#This Row],[MatchFlag]]=1,COUNTIFS($G$2:G41,RawData[[#This Row],[Picker ID ]],$I$2:I41,RawData[[#This Row],[Month List]],$J$2:J41,1)=1),1,0)</f>
        <v>#REF!</v>
      </c>
      <c r="L41" s="1" t="e">
        <f>IF(AND(RawData[[#This Row],[MatchFlag]]=1,COUNTIFS($H$2:H41,RawData[[#This Row],[Checker ID]],$I$2:I41,RawData[[#This Row],[Month List]],$J$2:J41,1)=1),1,0)</f>
        <v>#REF!</v>
      </c>
    </row>
    <row r="42" spans="1:12" x14ac:dyDescent="0.2">
      <c r="A42" s="8">
        <v>46229</v>
      </c>
      <c r="B42" s="3">
        <v>2578796</v>
      </c>
      <c r="C42" s="6" t="s">
        <v>205</v>
      </c>
      <c r="D42" s="5">
        <v>24</v>
      </c>
      <c r="E42" s="3" t="s">
        <v>8</v>
      </c>
      <c r="F42" s="3">
        <v>2392</v>
      </c>
      <c r="G42" s="3" t="s">
        <v>170</v>
      </c>
      <c r="H42" s="3" t="s">
        <v>135</v>
      </c>
      <c r="I42" s="1" t="str">
        <f t="shared" si="1"/>
        <v>July 2026</v>
      </c>
      <c r="J4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42" s="1" t="e">
        <f>IF(AND(RawData[[#This Row],[MatchFlag]]=1,COUNTIFS($G$2:G42,RawData[[#This Row],[Picker ID ]],$I$2:I42,RawData[[#This Row],[Month List]],$J$2:J42,1)=1),1,0)</f>
        <v>#REF!</v>
      </c>
      <c r="L42" s="1" t="e">
        <f>IF(AND(RawData[[#This Row],[MatchFlag]]=1,COUNTIFS($H$2:H42,RawData[[#This Row],[Checker ID]],$I$2:I42,RawData[[#This Row],[Month List]],$J$2:J42,1)=1),1,0)</f>
        <v>#REF!</v>
      </c>
    </row>
    <row r="43" spans="1:12" x14ac:dyDescent="0.2">
      <c r="A43" s="8">
        <v>46230</v>
      </c>
      <c r="B43" s="3">
        <v>1247628</v>
      </c>
      <c r="C43" s="6" t="s">
        <v>206</v>
      </c>
      <c r="D43" s="5">
        <v>6</v>
      </c>
      <c r="E43" s="3" t="s">
        <v>9</v>
      </c>
      <c r="F43" s="3">
        <v>2270</v>
      </c>
      <c r="G43" s="3" t="s">
        <v>207</v>
      </c>
      <c r="H43" s="3" t="s">
        <v>149</v>
      </c>
      <c r="I43" s="1" t="str">
        <f t="shared" si="1"/>
        <v>July 2026</v>
      </c>
      <c r="J4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43" s="1" t="e">
        <f>IF(AND(RawData[[#This Row],[MatchFlag]]=1,COUNTIFS($G$2:G43,RawData[[#This Row],[Picker ID ]],$I$2:I43,RawData[[#This Row],[Month List]],$J$2:J43,1)=1),1,0)</f>
        <v>#REF!</v>
      </c>
      <c r="L43" s="1" t="e">
        <f>IF(AND(RawData[[#This Row],[MatchFlag]]=1,COUNTIFS($H$2:H43,RawData[[#This Row],[Checker ID]],$I$2:I43,RawData[[#This Row],[Month List]],$J$2:J43,1)=1),1,0)</f>
        <v>#REF!</v>
      </c>
    </row>
    <row r="44" spans="1:12" x14ac:dyDescent="0.2">
      <c r="A44" s="8">
        <v>46230</v>
      </c>
      <c r="B44" s="3">
        <v>357270</v>
      </c>
      <c r="C44" s="6" t="s">
        <v>208</v>
      </c>
      <c r="D44" s="5">
        <v>12</v>
      </c>
      <c r="E44" s="3" t="s">
        <v>9</v>
      </c>
      <c r="F44" s="3">
        <v>2380</v>
      </c>
      <c r="G44" s="3" t="s">
        <v>190</v>
      </c>
      <c r="H44" s="3" t="s">
        <v>149</v>
      </c>
      <c r="I44" s="1" t="str">
        <f t="shared" si="1"/>
        <v>July 2026</v>
      </c>
      <c r="J4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44" s="1" t="e">
        <f>IF(AND(RawData[[#This Row],[MatchFlag]]=1,COUNTIFS($G$2:G44,RawData[[#This Row],[Picker ID ]],$I$2:I44,RawData[[#This Row],[Month List]],$J$2:J44,1)=1),1,0)</f>
        <v>#REF!</v>
      </c>
      <c r="L44" s="1" t="e">
        <f>IF(AND(RawData[[#This Row],[MatchFlag]]=1,COUNTIFS($H$2:H44,RawData[[#This Row],[Checker ID]],$I$2:I44,RawData[[#This Row],[Month List]],$J$2:J44,1)=1),1,0)</f>
        <v>#REF!</v>
      </c>
    </row>
    <row r="45" spans="1:12" x14ac:dyDescent="0.2">
      <c r="A45" s="8">
        <v>46231</v>
      </c>
      <c r="B45" s="3">
        <v>2235166</v>
      </c>
      <c r="C45" s="6" t="s">
        <v>209</v>
      </c>
      <c r="D45" s="5">
        <v>4</v>
      </c>
      <c r="E45" s="3" t="s">
        <v>8</v>
      </c>
      <c r="F45" s="3">
        <v>2490</v>
      </c>
      <c r="G45" s="3" t="s">
        <v>234</v>
      </c>
      <c r="H45" s="3" t="s">
        <v>149</v>
      </c>
      <c r="I45" s="1" t="str">
        <f t="shared" si="1"/>
        <v>July 2026</v>
      </c>
      <c r="J45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45" s="1" t="e">
        <f>IF(AND(RawData[[#This Row],[MatchFlag]]=1,COUNTIFS($G$2:G45,RawData[[#This Row],[Picker ID ]],$I$2:I45,RawData[[#This Row],[Month List]],$J$2:J45,1)=1),1,0)</f>
        <v>#REF!</v>
      </c>
      <c r="L45" s="1" t="e">
        <f>IF(AND(RawData[[#This Row],[MatchFlag]]=1,COUNTIFS($H$2:H45,RawData[[#This Row],[Checker ID]],$I$2:I45,RawData[[#This Row],[Month List]],$J$2:J45,1)=1),1,0)</f>
        <v>#REF!</v>
      </c>
    </row>
    <row r="46" spans="1:12" x14ac:dyDescent="0.2">
      <c r="A46" s="9">
        <v>46232</v>
      </c>
      <c r="B46" s="3">
        <v>3223</v>
      </c>
      <c r="C46" s="3" t="s">
        <v>210</v>
      </c>
      <c r="D46" s="5">
        <v>10</v>
      </c>
      <c r="E46" s="3" t="s">
        <v>9</v>
      </c>
      <c r="F46" s="3">
        <v>2382</v>
      </c>
      <c r="G46" s="3" t="s">
        <v>234</v>
      </c>
      <c r="H46" s="3" t="s">
        <v>149</v>
      </c>
      <c r="I46" s="1" t="str">
        <f t="shared" si="1"/>
        <v>July 2026</v>
      </c>
      <c r="J46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46" s="1" t="e">
        <f>IF(AND(RawData[[#This Row],[MatchFlag]]=1,COUNTIFS($G$2:G46,RawData[[#This Row],[Picker ID ]],$I$2:I46,RawData[[#This Row],[Month List]],$J$2:J46,1)=1),1,0)</f>
        <v>#REF!</v>
      </c>
      <c r="L46" s="1" t="e">
        <f>IF(AND(RawData[[#This Row],[MatchFlag]]=1,COUNTIFS($H$2:H46,RawData[[#This Row],[Checker ID]],$I$2:I46,RawData[[#This Row],[Month List]],$J$2:J46,1)=1),1,0)</f>
        <v>#REF!</v>
      </c>
    </row>
    <row r="47" spans="1:12" x14ac:dyDescent="0.2">
      <c r="A47" s="9">
        <v>46232</v>
      </c>
      <c r="B47" s="3">
        <v>11407</v>
      </c>
      <c r="C47" s="6" t="s">
        <v>211</v>
      </c>
      <c r="D47" s="5">
        <v>18</v>
      </c>
      <c r="E47" s="3" t="s">
        <v>8</v>
      </c>
      <c r="F47" s="3">
        <v>2420</v>
      </c>
      <c r="G47" s="3" t="s">
        <v>212</v>
      </c>
      <c r="H47" s="3" t="s">
        <v>161</v>
      </c>
      <c r="I47" s="1" t="str">
        <f t="shared" si="1"/>
        <v>July 2026</v>
      </c>
      <c r="J47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47" s="1" t="e">
        <f>IF(AND(RawData[[#This Row],[MatchFlag]]=1,COUNTIFS($G$2:G47,RawData[[#This Row],[Picker ID ]],$I$2:I47,RawData[[#This Row],[Month List]],$J$2:J47,1)=1),1,0)</f>
        <v>#REF!</v>
      </c>
      <c r="L47" s="1" t="e">
        <f>IF(AND(RawData[[#This Row],[MatchFlag]]=1,COUNTIFS($H$2:H47,RawData[[#This Row],[Checker ID]],$I$2:I47,RawData[[#This Row],[Month List]],$J$2:J47,1)=1),1,0)</f>
        <v>#REF!</v>
      </c>
    </row>
    <row r="48" spans="1:12" x14ac:dyDescent="0.2">
      <c r="A48" s="9">
        <v>46233</v>
      </c>
      <c r="B48" s="3">
        <v>1057733</v>
      </c>
      <c r="C48" s="6" t="s">
        <v>213</v>
      </c>
      <c r="D48" s="5">
        <v>12</v>
      </c>
      <c r="E48" s="3" t="s">
        <v>8</v>
      </c>
      <c r="F48" s="3">
        <v>2255</v>
      </c>
      <c r="G48" s="3" t="s">
        <v>214</v>
      </c>
      <c r="H48" s="3" t="s">
        <v>215</v>
      </c>
      <c r="I48" s="1" t="str">
        <f t="shared" si="1"/>
        <v>July 2026</v>
      </c>
      <c r="J48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48" s="1" t="e">
        <f>IF(AND(RawData[[#This Row],[MatchFlag]]=1,COUNTIFS($G$2:G48,RawData[[#This Row],[Picker ID ]],$I$2:I48,RawData[[#This Row],[Month List]],$J$2:J48,1)=1),1,0)</f>
        <v>#REF!</v>
      </c>
      <c r="L48" s="1" t="e">
        <f>IF(AND(RawData[[#This Row],[MatchFlag]]=1,COUNTIFS($H$2:H48,RawData[[#This Row],[Checker ID]],$I$2:I48,RawData[[#This Row],[Month List]],$J$2:J48,1)=1),1,0)</f>
        <v>#REF!</v>
      </c>
    </row>
    <row r="49" spans="1:12" x14ac:dyDescent="0.2">
      <c r="A49" s="9">
        <v>46234</v>
      </c>
      <c r="B49" s="3">
        <v>726860</v>
      </c>
      <c r="C49" s="6" t="s">
        <v>216</v>
      </c>
      <c r="D49" s="5">
        <v>6</v>
      </c>
      <c r="E49" s="3" t="s">
        <v>9</v>
      </c>
      <c r="F49" s="3">
        <v>2286</v>
      </c>
      <c r="G49" s="3" t="s">
        <v>217</v>
      </c>
      <c r="H49" s="3" t="s">
        <v>215</v>
      </c>
      <c r="I49" s="1" t="str">
        <f t="shared" si="1"/>
        <v>July 2026</v>
      </c>
      <c r="J49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49" s="1" t="e">
        <f>IF(AND(RawData[[#This Row],[MatchFlag]]=1,COUNTIFS($G$2:G49,RawData[[#This Row],[Picker ID ]],$I$2:I49,RawData[[#This Row],[Month List]],$J$2:J49,1)=1),1,0)</f>
        <v>#REF!</v>
      </c>
      <c r="L49" s="1" t="e">
        <f>IF(AND(RawData[[#This Row],[MatchFlag]]=1,COUNTIFS($H$2:H49,RawData[[#This Row],[Checker ID]],$I$2:I49,RawData[[#This Row],[Month List]],$J$2:J49,1)=1),1,0)</f>
        <v>#REF!</v>
      </c>
    </row>
    <row r="50" spans="1:12" x14ac:dyDescent="0.2">
      <c r="A50" s="9">
        <v>46235</v>
      </c>
      <c r="B50" s="3">
        <v>899617</v>
      </c>
      <c r="C50" s="3" t="s">
        <v>218</v>
      </c>
      <c r="D50" s="5">
        <v>12</v>
      </c>
      <c r="E50" s="3" t="s">
        <v>9</v>
      </c>
      <c r="F50" s="3">
        <v>2382</v>
      </c>
      <c r="G50" s="3" t="s">
        <v>148</v>
      </c>
      <c r="H50" s="3" t="s">
        <v>161</v>
      </c>
      <c r="I50" s="1" t="str">
        <f t="shared" si="1"/>
        <v>August 2026</v>
      </c>
      <c r="J50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50" s="1" t="e">
        <f>IF(AND(RawData[[#This Row],[MatchFlag]]=1,COUNTIFS($G$2:G50,RawData[[#This Row],[Picker ID ]],$I$2:I50,RawData[[#This Row],[Month List]],$J$2:J50,1)=1),1,0)</f>
        <v>#REF!</v>
      </c>
      <c r="L50" s="1" t="e">
        <f>IF(AND(RawData[[#This Row],[MatchFlag]]=1,COUNTIFS($H$2:H50,RawData[[#This Row],[Checker ID]],$I$2:I50,RawData[[#This Row],[Month List]],$J$2:J50,1)=1),1,0)</f>
        <v>#REF!</v>
      </c>
    </row>
    <row r="51" spans="1:12" x14ac:dyDescent="0.2">
      <c r="A51" s="9">
        <v>46235</v>
      </c>
      <c r="B51" s="3">
        <v>1780037</v>
      </c>
      <c r="C51" s="3" t="s">
        <v>219</v>
      </c>
      <c r="D51" s="5">
        <v>6</v>
      </c>
      <c r="E51" s="3" t="s">
        <v>8</v>
      </c>
      <c r="F51" s="3">
        <v>2382</v>
      </c>
      <c r="G51" s="3" t="s">
        <v>148</v>
      </c>
      <c r="H51" s="3" t="s">
        <v>161</v>
      </c>
      <c r="I51" s="1" t="str">
        <f t="shared" si="1"/>
        <v>August 2026</v>
      </c>
      <c r="J51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51" s="1" t="e">
        <f>IF(AND(RawData[[#This Row],[MatchFlag]]=1,COUNTIFS($G$2:G51,RawData[[#This Row],[Picker ID ]],$I$2:I51,RawData[[#This Row],[Month List]],$J$2:J51,1)=1),1,0)</f>
        <v>#REF!</v>
      </c>
      <c r="L51" s="1" t="e">
        <f>IF(AND(RawData[[#This Row],[MatchFlag]]=1,COUNTIFS($H$2:H51,RawData[[#This Row],[Checker ID]],$I$2:I51,RawData[[#This Row],[Month List]],$J$2:J51,1)=1),1,0)</f>
        <v>#REF!</v>
      </c>
    </row>
    <row r="52" spans="1:12" x14ac:dyDescent="0.2">
      <c r="A52" s="9">
        <v>46235</v>
      </c>
      <c r="B52" s="3">
        <v>1533197</v>
      </c>
      <c r="C52" s="6" t="s">
        <v>221</v>
      </c>
      <c r="D52" s="5">
        <v>32</v>
      </c>
      <c r="E52" s="3" t="s">
        <v>9</v>
      </c>
      <c r="F52" s="3">
        <v>2410</v>
      </c>
      <c r="G52" s="3" t="s">
        <v>199</v>
      </c>
      <c r="H52" s="3" t="s">
        <v>215</v>
      </c>
      <c r="I52" s="1" t="str">
        <f t="shared" si="1"/>
        <v>August 2026</v>
      </c>
      <c r="J5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52" s="1" t="e">
        <f>IF(AND(RawData[[#This Row],[MatchFlag]]=1,COUNTIFS($G$2:G52,RawData[[#This Row],[Picker ID ]],$I$2:I52,RawData[[#This Row],[Month List]],$J$2:J52,1)=1),1,0)</f>
        <v>#REF!</v>
      </c>
      <c r="L52" s="1" t="e">
        <f>IF(AND(RawData[[#This Row],[MatchFlag]]=1,COUNTIFS($H$2:H52,RawData[[#This Row],[Checker ID]],$I$2:I52,RawData[[#This Row],[Month List]],$J$2:J52,1)=1),1,0)</f>
        <v>#REF!</v>
      </c>
    </row>
    <row r="53" spans="1:12" x14ac:dyDescent="0.2">
      <c r="A53" s="9">
        <v>46235</v>
      </c>
      <c r="B53" s="3">
        <v>20166</v>
      </c>
      <c r="C53" s="6" t="s">
        <v>222</v>
      </c>
      <c r="D53" s="5">
        <v>1</v>
      </c>
      <c r="E53" s="3" t="s">
        <v>8</v>
      </c>
      <c r="F53" s="3">
        <v>2275</v>
      </c>
      <c r="G53" s="3" t="s">
        <v>223</v>
      </c>
      <c r="H53" s="3" t="s">
        <v>135</v>
      </c>
      <c r="I53" s="1" t="str">
        <f t="shared" si="1"/>
        <v>August 2026</v>
      </c>
      <c r="J5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53" s="1" t="e">
        <f>IF(AND(RawData[[#This Row],[MatchFlag]]=1,COUNTIFS($G$2:G53,RawData[[#This Row],[Picker ID ]],$I$2:I53,RawData[[#This Row],[Month List]],$J$2:J53,1)=1),1,0)</f>
        <v>#REF!</v>
      </c>
      <c r="L53" s="1" t="e">
        <f>IF(AND(RawData[[#This Row],[MatchFlag]]=1,COUNTIFS($H$2:H53,RawData[[#This Row],[Checker ID]],$I$2:I53,RawData[[#This Row],[Month List]],$J$2:J53,1)=1),1,0)</f>
        <v>#REF!</v>
      </c>
    </row>
    <row r="54" spans="1:12" x14ac:dyDescent="0.2">
      <c r="A54" s="9">
        <v>46235</v>
      </c>
      <c r="B54" s="3">
        <v>1608806</v>
      </c>
      <c r="C54" s="6" t="s">
        <v>224</v>
      </c>
      <c r="D54" s="5">
        <v>12</v>
      </c>
      <c r="E54" s="3" t="s">
        <v>9</v>
      </c>
      <c r="F54" s="3">
        <v>2575</v>
      </c>
      <c r="G54" s="3" t="s">
        <v>225</v>
      </c>
      <c r="H54" s="3" t="s">
        <v>135</v>
      </c>
      <c r="I54" s="1" t="str">
        <f t="shared" si="1"/>
        <v>August 2026</v>
      </c>
      <c r="J5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54" s="1" t="e">
        <f>IF(AND(RawData[[#This Row],[MatchFlag]]=1,COUNTIFS($G$2:G54,RawData[[#This Row],[Picker ID ]],$I$2:I54,RawData[[#This Row],[Month List]],$J$2:J54,1)=1),1,0)</f>
        <v>#REF!</v>
      </c>
      <c r="L54" s="1" t="e">
        <f>IF(AND(RawData[[#This Row],[MatchFlag]]=1,COUNTIFS($H$2:H54,RawData[[#This Row],[Checker ID]],$I$2:I54,RawData[[#This Row],[Month List]],$J$2:J54,1)=1),1,0)</f>
        <v>#REF!</v>
      </c>
    </row>
    <row r="55" spans="1:12" x14ac:dyDescent="0.2">
      <c r="A55" s="9">
        <v>46235</v>
      </c>
      <c r="B55" s="3">
        <v>1423362</v>
      </c>
      <c r="C55" s="6" t="s">
        <v>220</v>
      </c>
      <c r="D55" s="5">
        <v>12</v>
      </c>
      <c r="E55" s="3" t="s">
        <v>8</v>
      </c>
      <c r="F55" s="3">
        <v>2300</v>
      </c>
      <c r="G55" s="3" t="s">
        <v>134</v>
      </c>
      <c r="H55" s="3" t="s">
        <v>215</v>
      </c>
      <c r="I55" s="1" t="str">
        <f t="shared" si="1"/>
        <v>August 2026</v>
      </c>
      <c r="J55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55" s="1" t="e">
        <f>IF(AND(RawData[[#This Row],[MatchFlag]]=1,COUNTIFS($G$2:G55,RawData[[#This Row],[Picker ID ]],$I$2:I55,RawData[[#This Row],[Month List]],$J$2:J55,1)=1),1,0)</f>
        <v>#REF!</v>
      </c>
      <c r="L55" s="1" t="e">
        <f>IF(AND(RawData[[#This Row],[MatchFlag]]=1,COUNTIFS($H$2:H55,RawData[[#This Row],[Checker ID]],$I$2:I55,RawData[[#This Row],[Month List]],$J$2:J55,1)=1),1,0)</f>
        <v>#REF!</v>
      </c>
    </row>
    <row r="56" spans="1:12" x14ac:dyDescent="0.2">
      <c r="A56" s="9">
        <v>46235</v>
      </c>
      <c r="B56" s="3">
        <v>73522</v>
      </c>
      <c r="C56" s="6" t="s">
        <v>226</v>
      </c>
      <c r="D56" s="5">
        <v>12</v>
      </c>
      <c r="E56" s="3" t="s">
        <v>9</v>
      </c>
      <c r="F56" s="3">
        <v>2390</v>
      </c>
      <c r="G56" s="3" t="s">
        <v>214</v>
      </c>
      <c r="H56" s="3" t="s">
        <v>149</v>
      </c>
      <c r="I56" s="1" t="str">
        <f t="shared" si="1"/>
        <v>August 2026</v>
      </c>
      <c r="J56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56" s="1" t="e">
        <f>IF(AND(RawData[[#This Row],[MatchFlag]]=1,COUNTIFS($G$2:G56,RawData[[#This Row],[Picker ID ]],$I$2:I56,RawData[[#This Row],[Month List]],$J$2:J56,1)=1),1,0)</f>
        <v>#REF!</v>
      </c>
      <c r="L56" s="1" t="e">
        <f>IF(AND(RawData[[#This Row],[MatchFlag]]=1,COUNTIFS($H$2:H56,RawData[[#This Row],[Checker ID]],$I$2:I56,RawData[[#This Row],[Month List]],$J$2:J56,1)=1),1,0)</f>
        <v>#REF!</v>
      </c>
    </row>
    <row r="57" spans="1:12" x14ac:dyDescent="0.2">
      <c r="A57" s="9">
        <v>46235</v>
      </c>
      <c r="B57" s="3">
        <v>648787</v>
      </c>
      <c r="C57" s="6" t="s">
        <v>227</v>
      </c>
      <c r="D57" s="5">
        <v>12</v>
      </c>
      <c r="E57" s="3" t="s">
        <v>9</v>
      </c>
      <c r="F57" s="3">
        <v>2255</v>
      </c>
      <c r="G57" s="3" t="s">
        <v>142</v>
      </c>
      <c r="H57" s="3" t="s">
        <v>149</v>
      </c>
      <c r="I57" s="1" t="str">
        <f t="shared" si="1"/>
        <v>August 2026</v>
      </c>
      <c r="J57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57" s="1" t="e">
        <f>IF(AND(RawData[[#This Row],[MatchFlag]]=1,COUNTIFS($G$2:G57,RawData[[#This Row],[Picker ID ]],$I$2:I57,RawData[[#This Row],[Month List]],$J$2:J57,1)=1),1,0)</f>
        <v>#REF!</v>
      </c>
      <c r="L57" s="1" t="e">
        <f>IF(AND(RawData[[#This Row],[MatchFlag]]=1,COUNTIFS($H$2:H57,RawData[[#This Row],[Checker ID]],$I$2:I57,RawData[[#This Row],[Month List]],$J$2:J57,1)=1),1,0)</f>
        <v>#REF!</v>
      </c>
    </row>
    <row r="58" spans="1:12" x14ac:dyDescent="0.2">
      <c r="A58" s="9">
        <v>46236</v>
      </c>
      <c r="B58" s="3">
        <v>1815319</v>
      </c>
      <c r="C58" s="6" t="s">
        <v>228</v>
      </c>
      <c r="D58" s="5">
        <v>3</v>
      </c>
      <c r="E58" s="3" t="s">
        <v>8</v>
      </c>
      <c r="F58" s="3">
        <v>2560</v>
      </c>
      <c r="G58" s="3" t="s">
        <v>167</v>
      </c>
      <c r="H58" s="3" t="s">
        <v>149</v>
      </c>
      <c r="I58" s="1" t="str">
        <f t="shared" si="1"/>
        <v>August 2026</v>
      </c>
      <c r="J58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58" s="1" t="e">
        <f>IF(AND(RawData[[#This Row],[MatchFlag]]=1,COUNTIFS($G$2:G58,RawData[[#This Row],[Picker ID ]],$I$2:I58,RawData[[#This Row],[Month List]],$J$2:J58,1)=1),1,0)</f>
        <v>#REF!</v>
      </c>
      <c r="L58" s="1" t="e">
        <f>IF(AND(RawData[[#This Row],[MatchFlag]]=1,COUNTIFS($H$2:H58,RawData[[#This Row],[Checker ID]],$I$2:I58,RawData[[#This Row],[Month List]],$J$2:J58,1)=1),1,0)</f>
        <v>#REF!</v>
      </c>
    </row>
    <row r="59" spans="1:12" x14ac:dyDescent="0.2">
      <c r="A59" s="9">
        <v>46236</v>
      </c>
      <c r="B59" s="3">
        <v>1607617</v>
      </c>
      <c r="C59" s="6" t="s">
        <v>229</v>
      </c>
      <c r="D59" s="5">
        <v>12</v>
      </c>
      <c r="E59" s="3" t="s">
        <v>9</v>
      </c>
      <c r="F59" s="3">
        <v>2392</v>
      </c>
      <c r="G59" s="3" t="s">
        <v>223</v>
      </c>
      <c r="H59" s="3" t="s">
        <v>215</v>
      </c>
      <c r="I59" s="1" t="str">
        <f t="shared" si="1"/>
        <v>August 2026</v>
      </c>
      <c r="J59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59" s="1" t="e">
        <f>IF(AND(RawData[[#This Row],[MatchFlag]]=1,COUNTIFS($G$2:G59,RawData[[#This Row],[Picker ID ]],$I$2:I59,RawData[[#This Row],[Month List]],$J$2:J59,1)=1),1,0)</f>
        <v>#REF!</v>
      </c>
      <c r="L59" s="1" t="e">
        <f>IF(AND(RawData[[#This Row],[MatchFlag]]=1,COUNTIFS($H$2:H59,RawData[[#This Row],[Checker ID]],$I$2:I59,RawData[[#This Row],[Month List]],$J$2:J59,1)=1),1,0)</f>
        <v>#REF!</v>
      </c>
    </row>
    <row r="60" spans="1:12" x14ac:dyDescent="0.2">
      <c r="A60" s="9">
        <v>46237</v>
      </c>
      <c r="B60" s="3">
        <v>861823</v>
      </c>
      <c r="C60" s="6" t="s">
        <v>230</v>
      </c>
      <c r="D60" s="5">
        <v>8</v>
      </c>
      <c r="E60" s="3" t="s">
        <v>9</v>
      </c>
      <c r="F60" s="3">
        <v>2437</v>
      </c>
      <c r="G60" s="3" t="s">
        <v>231</v>
      </c>
      <c r="H60" s="3" t="s">
        <v>215</v>
      </c>
      <c r="I60" s="1" t="str">
        <f t="shared" si="1"/>
        <v>August 2026</v>
      </c>
      <c r="J60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60" s="1" t="e">
        <f>IF(AND(RawData[[#This Row],[MatchFlag]]=1,COUNTIFS($G$2:G60,RawData[[#This Row],[Picker ID ]],$I$2:I60,RawData[[#This Row],[Month List]],$J$2:J60,1)=1),1,0)</f>
        <v>#REF!</v>
      </c>
      <c r="L60" s="1" t="e">
        <f>IF(AND(RawData[[#This Row],[MatchFlag]]=1,COUNTIFS($H$2:H60,RawData[[#This Row],[Checker ID]],$I$2:I60,RawData[[#This Row],[Month List]],$J$2:J60,1)=1),1,0)</f>
        <v>#REF!</v>
      </c>
    </row>
    <row r="61" spans="1:12" x14ac:dyDescent="0.2">
      <c r="A61" s="9">
        <v>46237</v>
      </c>
      <c r="B61" s="3">
        <v>1411005</v>
      </c>
      <c r="C61" s="6" t="s">
        <v>232</v>
      </c>
      <c r="D61" s="5">
        <v>8</v>
      </c>
      <c r="E61" s="3" t="s">
        <v>9</v>
      </c>
      <c r="F61" s="3">
        <v>2331</v>
      </c>
      <c r="G61" s="3" t="s">
        <v>223</v>
      </c>
      <c r="H61" s="3" t="s">
        <v>135</v>
      </c>
      <c r="I61" s="1" t="str">
        <f t="shared" si="1"/>
        <v>August 2026</v>
      </c>
      <c r="J61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61" s="1" t="e">
        <f>IF(AND(RawData[[#This Row],[MatchFlag]]=1,COUNTIFS($G$2:G61,RawData[[#This Row],[Picker ID ]],$I$2:I61,RawData[[#This Row],[Month List]],$J$2:J61,1)=1),1,0)</f>
        <v>#REF!</v>
      </c>
      <c r="L61" s="1" t="e">
        <f>IF(AND(RawData[[#This Row],[MatchFlag]]=1,COUNTIFS($H$2:H61,RawData[[#This Row],[Checker ID]],$I$2:I61,RawData[[#This Row],[Month List]],$J$2:J61,1)=1),1,0)</f>
        <v>#REF!</v>
      </c>
    </row>
    <row r="62" spans="1:12" x14ac:dyDescent="0.2">
      <c r="A62" s="9">
        <v>46239</v>
      </c>
      <c r="B62" s="3">
        <v>1989893</v>
      </c>
      <c r="C62" s="6" t="s">
        <v>233</v>
      </c>
      <c r="D62" s="5">
        <v>3</v>
      </c>
      <c r="E62" s="3" t="s">
        <v>9</v>
      </c>
      <c r="F62" s="3">
        <v>2252</v>
      </c>
      <c r="G62" s="3" t="s">
        <v>234</v>
      </c>
      <c r="H62" s="3" t="s">
        <v>215</v>
      </c>
      <c r="I62" s="1" t="str">
        <f t="shared" si="1"/>
        <v>August 2026</v>
      </c>
      <c r="J6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62" s="1" t="e">
        <f>IF(AND(RawData[[#This Row],[MatchFlag]]=1,COUNTIFS($G$2:G62,RawData[[#This Row],[Picker ID ]],$I$2:I62,RawData[[#This Row],[Month List]],$J$2:J62,1)=1),1,0)</f>
        <v>#REF!</v>
      </c>
      <c r="L62" s="1" t="e">
        <f>IF(AND(RawData[[#This Row],[MatchFlag]]=1,COUNTIFS($H$2:H62,RawData[[#This Row],[Checker ID]],$I$2:I62,RawData[[#This Row],[Month List]],$J$2:J62,1)=1),1,0)</f>
        <v>#REF!</v>
      </c>
    </row>
    <row r="63" spans="1:12" x14ac:dyDescent="0.2">
      <c r="A63" s="9">
        <v>46239</v>
      </c>
      <c r="B63" s="3">
        <v>11407</v>
      </c>
      <c r="C63" s="6" t="s">
        <v>211</v>
      </c>
      <c r="D63" s="5">
        <v>1</v>
      </c>
      <c r="E63" s="3" t="s">
        <v>9</v>
      </c>
      <c r="F63" s="3">
        <v>2575</v>
      </c>
      <c r="G63" s="3" t="s">
        <v>165</v>
      </c>
      <c r="H63" s="3" t="s">
        <v>135</v>
      </c>
      <c r="I63" s="1" t="str">
        <f t="shared" si="1"/>
        <v>August 2026</v>
      </c>
      <c r="J6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63" s="1" t="e">
        <f>IF(AND(RawData[[#This Row],[MatchFlag]]=1,COUNTIFS($G$2:G63,RawData[[#This Row],[Picker ID ]],$I$2:I63,RawData[[#This Row],[Month List]],$J$2:J63,1)=1),1,0)</f>
        <v>#REF!</v>
      </c>
      <c r="L63" s="1" t="e">
        <f>IF(AND(RawData[[#This Row],[MatchFlag]]=1,COUNTIFS($H$2:H63,RawData[[#This Row],[Checker ID]],$I$2:I63,RawData[[#This Row],[Month List]],$J$2:J63,1)=1),1,0)</f>
        <v>#REF!</v>
      </c>
    </row>
    <row r="64" spans="1:12" x14ac:dyDescent="0.2">
      <c r="A64" s="9">
        <v>46240</v>
      </c>
      <c r="B64" s="3">
        <v>1464378</v>
      </c>
      <c r="C64" s="6" t="s">
        <v>235</v>
      </c>
      <c r="D64" s="5">
        <v>6</v>
      </c>
      <c r="E64" s="3" t="s">
        <v>8</v>
      </c>
      <c r="F64" s="3">
        <v>2332</v>
      </c>
      <c r="G64" s="3" t="s">
        <v>236</v>
      </c>
      <c r="H64" s="3" t="s">
        <v>135</v>
      </c>
      <c r="I64" s="1" t="str">
        <f t="shared" si="1"/>
        <v>August 2026</v>
      </c>
      <c r="J6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64" s="1" t="e">
        <f>IF(AND(RawData[[#This Row],[MatchFlag]]=1,COUNTIFS($G$2:G64,RawData[[#This Row],[Picker ID ]],$I$2:I64,RawData[[#This Row],[Month List]],$J$2:J64,1)=1),1,0)</f>
        <v>#REF!</v>
      </c>
      <c r="L64" s="1" t="e">
        <f>IF(AND(RawData[[#This Row],[MatchFlag]]=1,COUNTIFS($H$2:H64,RawData[[#This Row],[Checker ID]],$I$2:I64,RawData[[#This Row],[Month List]],$J$2:J64,1)=1),1,0)</f>
        <v>#REF!</v>
      </c>
    </row>
    <row r="65" spans="1:12" x14ac:dyDescent="0.2">
      <c r="A65" s="9">
        <v>46240</v>
      </c>
      <c r="B65" s="3">
        <v>1344332</v>
      </c>
      <c r="C65" s="6" t="s">
        <v>237</v>
      </c>
      <c r="D65" s="5">
        <v>6</v>
      </c>
      <c r="E65" s="3" t="s">
        <v>9</v>
      </c>
      <c r="F65" s="3">
        <v>2332</v>
      </c>
      <c r="G65" s="3" t="s">
        <v>236</v>
      </c>
      <c r="H65" s="3" t="s">
        <v>135</v>
      </c>
      <c r="I65" s="1" t="str">
        <f t="shared" si="1"/>
        <v>August 2026</v>
      </c>
      <c r="J65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65" s="1" t="e">
        <f>IF(AND(RawData[[#This Row],[MatchFlag]]=1,COUNTIFS($G$2:G65,RawData[[#This Row],[Picker ID ]],$I$2:I65,RawData[[#This Row],[Month List]],$J$2:J65,1)=1),1,0)</f>
        <v>#REF!</v>
      </c>
      <c r="L65" s="1" t="e">
        <f>IF(AND(RawData[[#This Row],[MatchFlag]]=1,COUNTIFS($H$2:H65,RawData[[#This Row],[Checker ID]],$I$2:I65,RawData[[#This Row],[Month List]],$J$2:J65,1)=1),1,0)</f>
        <v>#REF!</v>
      </c>
    </row>
    <row r="66" spans="1:12" x14ac:dyDescent="0.2">
      <c r="A66" s="9">
        <v>46240</v>
      </c>
      <c r="B66" s="3">
        <v>1348596</v>
      </c>
      <c r="C66" s="6" t="s">
        <v>238</v>
      </c>
      <c r="D66" s="5">
        <v>1</v>
      </c>
      <c r="E66" s="3" t="s">
        <v>8</v>
      </c>
      <c r="F66" s="3">
        <v>2255</v>
      </c>
      <c r="G66" s="3" t="s">
        <v>239</v>
      </c>
      <c r="H66" s="3" t="s">
        <v>163</v>
      </c>
      <c r="I66" s="1" t="str">
        <f t="shared" ref="I66:I90" si="2">IF(A66="","",TEXT(A66,"mmmm yyyy"))</f>
        <v>August 2026</v>
      </c>
      <c r="J66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66" s="1" t="e">
        <f>IF(AND(RawData[[#This Row],[MatchFlag]]=1,COUNTIFS($G$2:G66,RawData[[#This Row],[Picker ID ]],$I$2:I66,RawData[[#This Row],[Month List]],$J$2:J66,1)=1),1,0)</f>
        <v>#REF!</v>
      </c>
      <c r="L66" s="1" t="e">
        <f>IF(AND(RawData[[#This Row],[MatchFlag]]=1,COUNTIFS($H$2:H66,RawData[[#This Row],[Checker ID]],$I$2:I66,RawData[[#This Row],[Month List]],$J$2:J66,1)=1),1,0)</f>
        <v>#REF!</v>
      </c>
    </row>
    <row r="67" spans="1:12" x14ac:dyDescent="0.2">
      <c r="A67" s="9">
        <v>46240</v>
      </c>
      <c r="B67" s="3">
        <v>1261507</v>
      </c>
      <c r="C67" s="6" t="s">
        <v>240</v>
      </c>
      <c r="D67" s="5">
        <v>12</v>
      </c>
      <c r="E67" s="3" t="s">
        <v>8</v>
      </c>
      <c r="F67" s="3">
        <v>2300</v>
      </c>
      <c r="G67" s="3" t="s">
        <v>241</v>
      </c>
      <c r="H67" s="3" t="s">
        <v>135</v>
      </c>
      <c r="I67" s="1" t="str">
        <f t="shared" si="2"/>
        <v>August 2026</v>
      </c>
      <c r="J67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67" s="1" t="e">
        <f>IF(AND(RawData[[#This Row],[MatchFlag]]=1,COUNTIFS($G$2:G67,RawData[[#This Row],[Picker ID ]],$I$2:I67,RawData[[#This Row],[Month List]],$J$2:J67,1)=1),1,0)</f>
        <v>#REF!</v>
      </c>
      <c r="L67" s="1" t="e">
        <f>IF(AND(RawData[[#This Row],[MatchFlag]]=1,COUNTIFS($H$2:H67,RawData[[#This Row],[Checker ID]],$I$2:I67,RawData[[#This Row],[Month List]],$J$2:J67,1)=1),1,0)</f>
        <v>#REF!</v>
      </c>
    </row>
    <row r="68" spans="1:12" x14ac:dyDescent="0.2">
      <c r="A68" s="9">
        <v>46240</v>
      </c>
      <c r="B68" s="3">
        <v>1317432</v>
      </c>
      <c r="C68" s="6" t="s">
        <v>242</v>
      </c>
      <c r="D68" s="5">
        <v>12</v>
      </c>
      <c r="E68" s="3" t="s">
        <v>9</v>
      </c>
      <c r="F68" s="3">
        <v>2300</v>
      </c>
      <c r="G68" s="3" t="s">
        <v>241</v>
      </c>
      <c r="H68" s="3" t="s">
        <v>135</v>
      </c>
      <c r="I68" s="1" t="str">
        <f t="shared" si="2"/>
        <v>August 2026</v>
      </c>
      <c r="J68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68" s="1" t="e">
        <f>IF(AND(RawData[[#This Row],[MatchFlag]]=1,COUNTIFS($G$2:G68,RawData[[#This Row],[Picker ID ]],$I$2:I68,RawData[[#This Row],[Month List]],$J$2:J68,1)=1),1,0)</f>
        <v>#REF!</v>
      </c>
      <c r="L68" s="1" t="e">
        <f>IF(AND(RawData[[#This Row],[MatchFlag]]=1,COUNTIFS($H$2:H68,RawData[[#This Row],[Checker ID]],$I$2:I68,RawData[[#This Row],[Month List]],$J$2:J68,1)=1),1,0)</f>
        <v>#REF!</v>
      </c>
    </row>
    <row r="69" spans="1:12" x14ac:dyDescent="0.2">
      <c r="A69" s="9">
        <v>46241</v>
      </c>
      <c r="B69" s="3">
        <v>837191</v>
      </c>
      <c r="C69" s="6" t="s">
        <v>243</v>
      </c>
      <c r="D69" s="5">
        <v>5</v>
      </c>
      <c r="E69" s="3" t="s">
        <v>9</v>
      </c>
      <c r="F69" s="3">
        <v>2350</v>
      </c>
      <c r="G69" s="3" t="s">
        <v>151</v>
      </c>
      <c r="H69" s="3" t="s">
        <v>161</v>
      </c>
      <c r="I69" s="1" t="str">
        <f t="shared" si="2"/>
        <v>August 2026</v>
      </c>
      <c r="J69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69" s="1" t="e">
        <f>IF(AND(RawData[[#This Row],[MatchFlag]]=1,COUNTIFS($G$2:G69,RawData[[#This Row],[Picker ID ]],$I$2:I69,RawData[[#This Row],[Month List]],$J$2:J69,1)=1),1,0)</f>
        <v>#REF!</v>
      </c>
      <c r="L69" s="1" t="e">
        <f>IF(AND(RawData[[#This Row],[MatchFlag]]=1,COUNTIFS($H$2:H69,RawData[[#This Row],[Checker ID]],$I$2:I69,RawData[[#This Row],[Month List]],$J$2:J69,1)=1),1,0)</f>
        <v>#REF!</v>
      </c>
    </row>
    <row r="70" spans="1:12" x14ac:dyDescent="0.2">
      <c r="A70" s="9">
        <v>46241</v>
      </c>
      <c r="B70" s="3">
        <v>1629720</v>
      </c>
      <c r="C70" s="6" t="s">
        <v>244</v>
      </c>
      <c r="D70" s="5">
        <v>5</v>
      </c>
      <c r="E70" s="3" t="s">
        <v>9</v>
      </c>
      <c r="F70" s="3">
        <v>2575</v>
      </c>
      <c r="G70" s="3" t="s">
        <v>165</v>
      </c>
      <c r="H70" s="3" t="s">
        <v>215</v>
      </c>
      <c r="I70" s="1" t="str">
        <f t="shared" si="2"/>
        <v>August 2026</v>
      </c>
      <c r="J70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70" s="1" t="e">
        <f>IF(AND(RawData[[#This Row],[MatchFlag]]=1,COUNTIFS($G$2:G70,RawData[[#This Row],[Picker ID ]],$I$2:I70,RawData[[#This Row],[Month List]],$J$2:J70,1)=1),1,0)</f>
        <v>#REF!</v>
      </c>
      <c r="L70" s="1" t="e">
        <f>IF(AND(RawData[[#This Row],[MatchFlag]]=1,COUNTIFS($H$2:H70,RawData[[#This Row],[Checker ID]],$I$2:I70,RawData[[#This Row],[Month List]],$J$2:J70,1)=1),1,0)</f>
        <v>#REF!</v>
      </c>
    </row>
    <row r="71" spans="1:12" x14ac:dyDescent="0.2">
      <c r="A71" s="9">
        <v>46242</v>
      </c>
      <c r="B71" s="3">
        <v>2021203</v>
      </c>
      <c r="C71" s="6" t="s">
        <v>245</v>
      </c>
      <c r="D71" s="5">
        <v>18</v>
      </c>
      <c r="E71" s="3" t="s">
        <v>9</v>
      </c>
      <c r="F71" s="3">
        <v>2270</v>
      </c>
      <c r="G71" s="3" t="s">
        <v>246</v>
      </c>
      <c r="H71" s="3" t="s">
        <v>161</v>
      </c>
      <c r="I71" s="1" t="str">
        <f t="shared" si="2"/>
        <v>August 2026</v>
      </c>
      <c r="J71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71" s="1" t="e">
        <f>IF(AND(RawData[[#This Row],[MatchFlag]]=1,COUNTIFS($G$2:G71,RawData[[#This Row],[Picker ID ]],$I$2:I71,RawData[[#This Row],[Month List]],$J$2:J71,1)=1),1,0)</f>
        <v>#REF!</v>
      </c>
      <c r="L71" s="1" t="e">
        <f>IF(AND(RawData[[#This Row],[MatchFlag]]=1,COUNTIFS($H$2:H71,RawData[[#This Row],[Checker ID]],$I$2:I71,RawData[[#This Row],[Month List]],$J$2:J71,1)=1),1,0)</f>
        <v>#REF!</v>
      </c>
    </row>
    <row r="72" spans="1:12" x14ac:dyDescent="0.2">
      <c r="A72" s="9">
        <v>46244</v>
      </c>
      <c r="B72" s="3">
        <v>49148</v>
      </c>
      <c r="C72" s="6" t="s">
        <v>247</v>
      </c>
      <c r="D72" s="5">
        <v>1</v>
      </c>
      <c r="E72" s="3" t="s">
        <v>8</v>
      </c>
      <c r="F72" s="3">
        <v>2255</v>
      </c>
      <c r="G72" s="3" t="s">
        <v>225</v>
      </c>
      <c r="H72" s="3" t="s">
        <v>163</v>
      </c>
      <c r="I72" s="1" t="str">
        <f t="shared" si="2"/>
        <v>August 2026</v>
      </c>
      <c r="J7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72" s="1" t="e">
        <f>IF(AND(RawData[[#This Row],[MatchFlag]]=1,COUNTIFS($G$2:G72,RawData[[#This Row],[Picker ID ]],$I$2:I72,RawData[[#This Row],[Month List]],$J$2:J72,1)=1),1,0)</f>
        <v>#REF!</v>
      </c>
      <c r="L72" s="1" t="e">
        <f>IF(AND(RawData[[#This Row],[MatchFlag]]=1,COUNTIFS($H$2:H72,RawData[[#This Row],[Checker ID]],$I$2:I72,RawData[[#This Row],[Month List]],$J$2:J72,1)=1),1,0)</f>
        <v>#REF!</v>
      </c>
    </row>
    <row r="73" spans="1:12" x14ac:dyDescent="0.2">
      <c r="A73" s="9">
        <v>46244</v>
      </c>
      <c r="B73" s="3">
        <v>1309541</v>
      </c>
      <c r="C73" s="6" t="s">
        <v>248</v>
      </c>
      <c r="D73" s="5">
        <v>12</v>
      </c>
      <c r="E73" s="3" t="s">
        <v>9</v>
      </c>
      <c r="F73" s="3">
        <v>2344</v>
      </c>
      <c r="G73" s="3" t="s">
        <v>249</v>
      </c>
      <c r="H73" s="3" t="s">
        <v>215</v>
      </c>
      <c r="I73" s="1" t="str">
        <f t="shared" si="2"/>
        <v>August 2026</v>
      </c>
      <c r="J7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73" s="1" t="e">
        <f>IF(AND(RawData[[#This Row],[MatchFlag]]=1,COUNTIFS($G$2:G73,RawData[[#This Row],[Picker ID ]],$I$2:I73,RawData[[#This Row],[Month List]],$J$2:J73,1)=1),1,0)</f>
        <v>#REF!</v>
      </c>
      <c r="L73" s="1" t="e">
        <f>IF(AND(RawData[[#This Row],[MatchFlag]]=1,COUNTIFS($H$2:H73,RawData[[#This Row],[Checker ID]],$I$2:I73,RawData[[#This Row],[Month List]],$J$2:J73,1)=1),1,0)</f>
        <v>#REF!</v>
      </c>
    </row>
    <row r="74" spans="1:12" x14ac:dyDescent="0.2">
      <c r="A74" s="9">
        <v>46244</v>
      </c>
      <c r="B74" s="3">
        <v>2334287</v>
      </c>
      <c r="C74" s="6" t="s">
        <v>183</v>
      </c>
      <c r="D74" s="5">
        <v>2</v>
      </c>
      <c r="E74" s="3" t="s">
        <v>9</v>
      </c>
      <c r="F74" s="3">
        <v>2420</v>
      </c>
      <c r="G74" s="3" t="s">
        <v>165</v>
      </c>
      <c r="H74" s="3" t="s">
        <v>135</v>
      </c>
      <c r="I74" s="1" t="str">
        <f t="shared" si="2"/>
        <v>August 2026</v>
      </c>
      <c r="J7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74" s="1" t="e">
        <f>IF(AND(RawData[[#This Row],[MatchFlag]]=1,COUNTIFS($G$2:G74,RawData[[#This Row],[Picker ID ]],$I$2:I74,RawData[[#This Row],[Month List]],$J$2:J74,1)=1),1,0)</f>
        <v>#REF!</v>
      </c>
      <c r="L74" s="1" t="e">
        <f>IF(AND(RawData[[#This Row],[MatchFlag]]=1,COUNTIFS($H$2:H74,RawData[[#This Row],[Checker ID]],$I$2:I74,RawData[[#This Row],[Month List]],$J$2:J74,1)=1),1,0)</f>
        <v>#REF!</v>
      </c>
    </row>
    <row r="75" spans="1:12" x14ac:dyDescent="0.2">
      <c r="A75" s="9">
        <v>46246</v>
      </c>
      <c r="B75" s="3">
        <v>930605</v>
      </c>
      <c r="C75" s="6" t="s">
        <v>250</v>
      </c>
      <c r="D75" s="5">
        <v>6</v>
      </c>
      <c r="E75" s="3" t="s">
        <v>8</v>
      </c>
      <c r="F75" s="3">
        <v>2450</v>
      </c>
      <c r="G75" s="3" t="s">
        <v>251</v>
      </c>
      <c r="H75" s="3" t="s">
        <v>135</v>
      </c>
      <c r="I75" s="1" t="str">
        <f t="shared" si="2"/>
        <v>August 2026</v>
      </c>
      <c r="J75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75" s="1" t="e">
        <f>IF(AND(RawData[[#This Row],[MatchFlag]]=1,COUNTIFS($G$2:G75,RawData[[#This Row],[Picker ID ]],$I$2:I75,RawData[[#This Row],[Month List]],$J$2:J75,1)=1),1,0)</f>
        <v>#REF!</v>
      </c>
      <c r="L75" s="1" t="e">
        <f>IF(AND(RawData[[#This Row],[MatchFlag]]=1,COUNTIFS($H$2:H75,RawData[[#This Row],[Checker ID]],$I$2:I75,RawData[[#This Row],[Month List]],$J$2:J75,1)=1),1,0)</f>
        <v>#REF!</v>
      </c>
    </row>
    <row r="76" spans="1:12" x14ac:dyDescent="0.2">
      <c r="A76" s="9">
        <v>46246</v>
      </c>
      <c r="B76" s="3">
        <v>1764336</v>
      </c>
      <c r="C76" s="6" t="s">
        <v>252</v>
      </c>
      <c r="D76" s="5">
        <v>4</v>
      </c>
      <c r="E76" s="3" t="s">
        <v>9</v>
      </c>
      <c r="F76" s="3">
        <v>2267</v>
      </c>
      <c r="G76" s="3" t="s">
        <v>253</v>
      </c>
      <c r="H76" s="3" t="s">
        <v>149</v>
      </c>
      <c r="I76" s="1" t="str">
        <f t="shared" si="2"/>
        <v>August 2026</v>
      </c>
      <c r="J76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76" s="1" t="e">
        <f>IF(AND(RawData[[#This Row],[MatchFlag]]=1,COUNTIFS($G$2:G76,RawData[[#This Row],[Picker ID ]],$I$2:I76,RawData[[#This Row],[Month List]],$J$2:J76,1)=1),1,0)</f>
        <v>#REF!</v>
      </c>
      <c r="L76" s="1" t="e">
        <f>IF(AND(RawData[[#This Row],[MatchFlag]]=1,COUNTIFS($H$2:H76,RawData[[#This Row],[Checker ID]],$I$2:I76,RawData[[#This Row],[Month List]],$J$2:J76,1)=1),1,0)</f>
        <v>#REF!</v>
      </c>
    </row>
    <row r="77" spans="1:12" x14ac:dyDescent="0.2">
      <c r="A77" s="9">
        <v>46247</v>
      </c>
      <c r="B77" s="3">
        <v>1348596</v>
      </c>
      <c r="C77" s="6" t="s">
        <v>254</v>
      </c>
      <c r="D77" s="5">
        <v>25</v>
      </c>
      <c r="E77" s="3" t="s">
        <v>9</v>
      </c>
      <c r="F77" s="3">
        <v>2440</v>
      </c>
      <c r="G77" s="3" t="s">
        <v>255</v>
      </c>
      <c r="H77" s="3" t="s">
        <v>163</v>
      </c>
      <c r="I77" s="1" t="str">
        <f t="shared" si="2"/>
        <v>August 2026</v>
      </c>
      <c r="J77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77" s="1" t="e">
        <f>IF(AND(RawData[[#This Row],[MatchFlag]]=1,COUNTIFS($G$2:G77,RawData[[#This Row],[Picker ID ]],$I$2:I77,RawData[[#This Row],[Month List]],$J$2:J77,1)=1),1,0)</f>
        <v>#REF!</v>
      </c>
      <c r="L77" s="1" t="e">
        <f>IF(AND(RawData[[#This Row],[MatchFlag]]=1,COUNTIFS($H$2:H77,RawData[[#This Row],[Checker ID]],$I$2:I77,RawData[[#This Row],[Month List]],$J$2:J77,1)=1),1,0)</f>
        <v>#REF!</v>
      </c>
    </row>
    <row r="78" spans="1:12" x14ac:dyDescent="0.2">
      <c r="A78" s="9">
        <v>46247</v>
      </c>
      <c r="B78" s="3">
        <v>309825</v>
      </c>
      <c r="C78" s="6" t="s">
        <v>256</v>
      </c>
      <c r="D78" s="5">
        <v>12</v>
      </c>
      <c r="E78" s="3" t="s">
        <v>9</v>
      </c>
      <c r="F78" s="3">
        <v>2270</v>
      </c>
      <c r="G78" s="3" t="s">
        <v>257</v>
      </c>
      <c r="H78" s="3" t="s">
        <v>163</v>
      </c>
      <c r="I78" s="1" t="str">
        <f t="shared" si="2"/>
        <v>August 2026</v>
      </c>
      <c r="J78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78" s="1" t="e">
        <f>IF(AND(RawData[[#This Row],[MatchFlag]]=1,COUNTIFS($G$2:G78,RawData[[#This Row],[Picker ID ]],$I$2:I78,RawData[[#This Row],[Month List]],$J$2:J78,1)=1),1,0)</f>
        <v>#REF!</v>
      </c>
      <c r="L78" s="1" t="e">
        <f>IF(AND(RawData[[#This Row],[MatchFlag]]=1,COUNTIFS($H$2:H78,RawData[[#This Row],[Checker ID]],$I$2:I78,RawData[[#This Row],[Month List]],$J$2:J78,1)=1),1,0)</f>
        <v>#REF!</v>
      </c>
    </row>
    <row r="79" spans="1:12" x14ac:dyDescent="0.2">
      <c r="A79" s="9">
        <v>46247</v>
      </c>
      <c r="B79" s="3">
        <v>2644751</v>
      </c>
      <c r="C79" s="3" t="s">
        <v>258</v>
      </c>
      <c r="D79" s="5">
        <v>12</v>
      </c>
      <c r="E79" s="3" t="s">
        <v>9</v>
      </c>
      <c r="F79" s="3">
        <v>2270</v>
      </c>
      <c r="G79" s="3" t="s">
        <v>197</v>
      </c>
      <c r="H79" s="3" t="s">
        <v>163</v>
      </c>
      <c r="I79" s="1" t="str">
        <f t="shared" si="2"/>
        <v>August 2026</v>
      </c>
      <c r="J79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79" s="1" t="e">
        <f>IF(AND(RawData[[#This Row],[MatchFlag]]=1,COUNTIFS($G$2:G79,RawData[[#This Row],[Picker ID ]],$I$2:I79,RawData[[#This Row],[Month List]],$J$2:J79,1)=1),1,0)</f>
        <v>#REF!</v>
      </c>
      <c r="L79" s="1" t="e">
        <f>IF(AND(RawData[[#This Row],[MatchFlag]]=1,COUNTIFS($H$2:H79,RawData[[#This Row],[Checker ID]],$I$2:I79,RawData[[#This Row],[Month List]],$J$2:J79,1)=1),1,0)</f>
        <v>#REF!</v>
      </c>
    </row>
    <row r="80" spans="1:12" x14ac:dyDescent="0.2">
      <c r="A80" s="9">
        <v>46247</v>
      </c>
      <c r="B80" s="3">
        <v>1812701</v>
      </c>
      <c r="C80" s="6" t="s">
        <v>259</v>
      </c>
      <c r="D80" s="5">
        <v>6</v>
      </c>
      <c r="E80" s="3" t="s">
        <v>8</v>
      </c>
      <c r="F80" s="3">
        <v>2300</v>
      </c>
      <c r="G80" s="3" t="s">
        <v>241</v>
      </c>
      <c r="H80" s="3" t="s">
        <v>163</v>
      </c>
      <c r="I80" s="1" t="str">
        <f t="shared" si="2"/>
        <v>August 2026</v>
      </c>
      <c r="J80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80" s="1" t="e">
        <f>IF(AND(RawData[[#This Row],[MatchFlag]]=1,COUNTIFS($G$2:G80,RawData[[#This Row],[Picker ID ]],$I$2:I80,RawData[[#This Row],[Month List]],$J$2:J80,1)=1),1,0)</f>
        <v>#REF!</v>
      </c>
      <c r="L80" s="1" t="e">
        <f>IF(AND(RawData[[#This Row],[MatchFlag]]=1,COUNTIFS($H$2:H80,RawData[[#This Row],[Checker ID]],$I$2:I80,RawData[[#This Row],[Month List]],$J$2:J80,1)=1),1,0)</f>
        <v>#REF!</v>
      </c>
    </row>
    <row r="81" spans="1:12" x14ac:dyDescent="0.2">
      <c r="A81" s="9">
        <v>46248</v>
      </c>
      <c r="B81" s="3">
        <v>23884</v>
      </c>
      <c r="C81" s="6" t="s">
        <v>260</v>
      </c>
      <c r="D81" s="5">
        <v>6</v>
      </c>
      <c r="E81" s="3" t="s">
        <v>8</v>
      </c>
      <c r="F81" s="3">
        <v>2344</v>
      </c>
      <c r="G81" s="3" t="s">
        <v>261</v>
      </c>
      <c r="H81" s="3" t="s">
        <v>163</v>
      </c>
      <c r="I81" s="1" t="str">
        <f t="shared" si="2"/>
        <v>August 2026</v>
      </c>
      <c r="J81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81" s="1" t="e">
        <f>IF(AND(RawData[[#This Row],[MatchFlag]]=1,COUNTIFS($G$2:G81,RawData[[#This Row],[Picker ID ]],$I$2:I81,RawData[[#This Row],[Month List]],$J$2:J81,1)=1),1,0)</f>
        <v>#REF!</v>
      </c>
      <c r="L81" s="1" t="e">
        <f>IF(AND(RawData[[#This Row],[MatchFlag]]=1,COUNTIFS($H$2:H81,RawData[[#This Row],[Checker ID]],$I$2:I81,RawData[[#This Row],[Month List]],$J$2:J81,1)=1),1,0)</f>
        <v>#REF!</v>
      </c>
    </row>
    <row r="82" spans="1:12" x14ac:dyDescent="0.2">
      <c r="A82" s="9">
        <v>46248</v>
      </c>
      <c r="B82" s="3">
        <v>2259265</v>
      </c>
      <c r="C82" s="3" t="s">
        <v>139</v>
      </c>
      <c r="D82" s="5">
        <v>6</v>
      </c>
      <c r="E82" s="3" t="s">
        <v>9</v>
      </c>
      <c r="F82" s="3">
        <v>2344</v>
      </c>
      <c r="G82" s="3" t="s">
        <v>261</v>
      </c>
      <c r="H82" s="3" t="s">
        <v>163</v>
      </c>
      <c r="I82" s="1" t="str">
        <f t="shared" si="2"/>
        <v>August 2026</v>
      </c>
      <c r="J8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82" s="1" t="e">
        <f>IF(AND(RawData[[#This Row],[MatchFlag]]=1,COUNTIFS($G$2:G82,RawData[[#This Row],[Picker ID ]],$I$2:I82,RawData[[#This Row],[Month List]],$J$2:J82,1)=1),1,0)</f>
        <v>#REF!</v>
      </c>
      <c r="L82" s="1" t="e">
        <f>IF(AND(RawData[[#This Row],[MatchFlag]]=1,COUNTIFS($H$2:H82,RawData[[#This Row],[Checker ID]],$I$2:I82,RawData[[#This Row],[Month List]],$J$2:J82,1)=1),1,0)</f>
        <v>#REF!</v>
      </c>
    </row>
    <row r="83" spans="1:12" x14ac:dyDescent="0.2">
      <c r="A83" s="9">
        <v>46248</v>
      </c>
      <c r="B83" s="3">
        <v>210228</v>
      </c>
      <c r="C83" s="6" t="s">
        <v>262</v>
      </c>
      <c r="D83" s="5">
        <v>7</v>
      </c>
      <c r="E83" s="3" t="s">
        <v>9</v>
      </c>
      <c r="F83" s="3">
        <v>2262</v>
      </c>
      <c r="G83" s="3" t="s">
        <v>170</v>
      </c>
      <c r="H83" s="3" t="s">
        <v>135</v>
      </c>
      <c r="I83" s="1" t="str">
        <f t="shared" si="2"/>
        <v>August 2026</v>
      </c>
      <c r="J8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83" s="1" t="e">
        <f>IF(AND(RawData[[#This Row],[MatchFlag]]=1,COUNTIFS($G$2:G83,RawData[[#This Row],[Picker ID ]],$I$2:I83,RawData[[#This Row],[Month List]],$J$2:J83,1)=1),1,0)</f>
        <v>#REF!</v>
      </c>
      <c r="L83" s="1" t="e">
        <f>IF(AND(RawData[[#This Row],[MatchFlag]]=1,COUNTIFS($H$2:H83,RawData[[#This Row],[Checker ID]],$I$2:I83,RawData[[#This Row],[Month List]],$J$2:J83,1)=1),1,0)</f>
        <v>#REF!</v>
      </c>
    </row>
    <row r="84" spans="1:12" x14ac:dyDescent="0.2">
      <c r="A84" s="9">
        <v>46248</v>
      </c>
      <c r="B84" s="3">
        <v>23884</v>
      </c>
      <c r="C84" s="6" t="s">
        <v>260</v>
      </c>
      <c r="D84" s="5">
        <v>6</v>
      </c>
      <c r="E84" s="3" t="s">
        <v>9</v>
      </c>
      <c r="F84" s="3">
        <v>2392</v>
      </c>
      <c r="G84" s="3" t="s">
        <v>182</v>
      </c>
      <c r="H84" s="3" t="s">
        <v>163</v>
      </c>
      <c r="I84" s="1" t="str">
        <f t="shared" si="2"/>
        <v>August 2026</v>
      </c>
      <c r="J8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84" s="1" t="e">
        <f>IF(AND(RawData[[#This Row],[MatchFlag]]=1,COUNTIFS($G$2:G84,RawData[[#This Row],[Picker ID ]],$I$2:I84,RawData[[#This Row],[Month List]],$J$2:J84,1)=1),1,0)</f>
        <v>#REF!</v>
      </c>
      <c r="L84" s="1" t="e">
        <f>IF(AND(RawData[[#This Row],[MatchFlag]]=1,COUNTIFS($H$2:H84,RawData[[#This Row],[Checker ID]],$I$2:I84,RawData[[#This Row],[Month List]],$J$2:J84,1)=1),1,0)</f>
        <v>#REF!</v>
      </c>
    </row>
    <row r="85" spans="1:12" x14ac:dyDescent="0.2">
      <c r="A85" s="9">
        <v>46248</v>
      </c>
      <c r="B85" s="3">
        <v>2259265</v>
      </c>
      <c r="C85" s="6" t="s">
        <v>139</v>
      </c>
      <c r="D85" s="5">
        <v>6</v>
      </c>
      <c r="E85" s="3" t="s">
        <v>8</v>
      </c>
      <c r="F85" s="3">
        <v>2392</v>
      </c>
      <c r="G85" s="3" t="s">
        <v>182</v>
      </c>
      <c r="H85" s="3" t="s">
        <v>163</v>
      </c>
      <c r="I85" s="1" t="str">
        <f t="shared" si="2"/>
        <v>August 2026</v>
      </c>
      <c r="J85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85" s="1" t="e">
        <f>IF(AND(RawData[[#This Row],[MatchFlag]]=1,COUNTIFS($G$2:G85,RawData[[#This Row],[Picker ID ]],$I$2:I85,RawData[[#This Row],[Month List]],$J$2:J85,1)=1),1,0)</f>
        <v>#REF!</v>
      </c>
      <c r="L85" s="1" t="e">
        <f>IF(AND(RawData[[#This Row],[MatchFlag]]=1,COUNTIFS($H$2:H85,RawData[[#This Row],[Checker ID]],$I$2:I85,RawData[[#This Row],[Month List]],$J$2:J85,1)=1),1,0)</f>
        <v>#REF!</v>
      </c>
    </row>
    <row r="86" spans="1:12" x14ac:dyDescent="0.2">
      <c r="A86" s="9">
        <v>46248</v>
      </c>
      <c r="B86" s="3">
        <v>23884</v>
      </c>
      <c r="C86" s="6" t="s">
        <v>260</v>
      </c>
      <c r="D86" s="5">
        <v>6</v>
      </c>
      <c r="E86" s="3" t="s">
        <v>9</v>
      </c>
      <c r="F86" s="3">
        <v>2392</v>
      </c>
      <c r="G86" s="3" t="s">
        <v>165</v>
      </c>
      <c r="H86" s="3" t="s">
        <v>135</v>
      </c>
      <c r="I86" s="1" t="str">
        <f t="shared" si="2"/>
        <v>August 2026</v>
      </c>
      <c r="J86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86" s="1" t="e">
        <f>IF(AND(RawData[[#This Row],[MatchFlag]]=1,COUNTIFS($G$2:G86,RawData[[#This Row],[Picker ID ]],$I$2:I86,RawData[[#This Row],[Month List]],$J$2:J86,1)=1),1,0)</f>
        <v>#REF!</v>
      </c>
      <c r="L86" s="1" t="e">
        <f>IF(AND(RawData[[#This Row],[MatchFlag]]=1,COUNTIFS($H$2:H86,RawData[[#This Row],[Checker ID]],$I$2:I86,RawData[[#This Row],[Month List]],$J$2:J86,1)=1),1,0)</f>
        <v>#REF!</v>
      </c>
    </row>
    <row r="87" spans="1:12" x14ac:dyDescent="0.2">
      <c r="A87" s="9">
        <v>46248</v>
      </c>
      <c r="B87" s="3">
        <v>2259265</v>
      </c>
      <c r="C87" s="3" t="s">
        <v>139</v>
      </c>
      <c r="D87" s="5">
        <v>6</v>
      </c>
      <c r="E87" s="3" t="s">
        <v>8</v>
      </c>
      <c r="F87" s="3">
        <v>2392</v>
      </c>
      <c r="G87" s="3" t="s">
        <v>165</v>
      </c>
      <c r="H87" s="3" t="s">
        <v>135</v>
      </c>
      <c r="I87" s="1" t="str">
        <f t="shared" si="2"/>
        <v>August 2026</v>
      </c>
      <c r="J87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87" s="1" t="e">
        <f>IF(AND(RawData[[#This Row],[MatchFlag]]=1,COUNTIFS($G$2:G87,RawData[[#This Row],[Picker ID ]],$I$2:I87,RawData[[#This Row],[Month List]],$J$2:J87,1)=1),1,0)</f>
        <v>#REF!</v>
      </c>
      <c r="L87" s="1" t="e">
        <f>IF(AND(RawData[[#This Row],[MatchFlag]]=1,COUNTIFS($H$2:H87,RawData[[#This Row],[Checker ID]],$I$2:I87,RawData[[#This Row],[Month List]],$J$2:J87,1)=1),1,0)</f>
        <v>#REF!</v>
      </c>
    </row>
    <row r="88" spans="1:12" x14ac:dyDescent="0.2">
      <c r="A88" s="9">
        <v>46248</v>
      </c>
      <c r="B88" s="3">
        <v>23884</v>
      </c>
      <c r="C88" s="6" t="s">
        <v>260</v>
      </c>
      <c r="D88" s="5">
        <v>6</v>
      </c>
      <c r="E88" s="3" t="s">
        <v>9</v>
      </c>
      <c r="F88" s="3">
        <v>2332</v>
      </c>
      <c r="G88" s="3" t="s">
        <v>202</v>
      </c>
      <c r="H88" s="3" t="s">
        <v>163</v>
      </c>
      <c r="I88" s="1" t="str">
        <f t="shared" si="2"/>
        <v>August 2026</v>
      </c>
      <c r="J88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88" s="1" t="e">
        <f>IF(AND(RawData[[#This Row],[MatchFlag]]=1,COUNTIFS($G$2:G88,RawData[[#This Row],[Picker ID ]],$I$2:I88,RawData[[#This Row],[Month List]],$J$2:J88,1)=1),1,0)</f>
        <v>#REF!</v>
      </c>
      <c r="L88" s="1" t="e">
        <f>IF(AND(RawData[[#This Row],[MatchFlag]]=1,COUNTIFS($H$2:H88,RawData[[#This Row],[Checker ID]],$I$2:I88,RawData[[#This Row],[Month List]],$J$2:J88,1)=1),1,0)</f>
        <v>#REF!</v>
      </c>
    </row>
    <row r="89" spans="1:12" x14ac:dyDescent="0.2">
      <c r="A89" s="9">
        <v>46249</v>
      </c>
      <c r="B89" s="3">
        <v>318337</v>
      </c>
      <c r="C89" s="6" t="s">
        <v>263</v>
      </c>
      <c r="D89" s="5">
        <v>20</v>
      </c>
      <c r="E89" s="3" t="s">
        <v>8</v>
      </c>
      <c r="F89" s="3">
        <v>2410</v>
      </c>
      <c r="G89" s="3" t="s">
        <v>264</v>
      </c>
      <c r="H89" s="3" t="s">
        <v>161</v>
      </c>
      <c r="I89" s="1" t="str">
        <f t="shared" si="2"/>
        <v>August 2026</v>
      </c>
      <c r="J89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89" s="1" t="e">
        <f>IF(AND(RawData[[#This Row],[MatchFlag]]=1,COUNTIFS($G$2:G89,RawData[[#This Row],[Picker ID ]],$I$2:I89,RawData[[#This Row],[Month List]],$J$2:J89,1)=1),1,0)</f>
        <v>#REF!</v>
      </c>
      <c r="L89" s="1" t="e">
        <f>IF(AND(RawData[[#This Row],[MatchFlag]]=1,COUNTIFS($H$2:H89,RawData[[#This Row],[Checker ID]],$I$2:I89,RawData[[#This Row],[Month List]],$J$2:J89,1)=1),1,0)</f>
        <v>#REF!</v>
      </c>
    </row>
    <row r="90" spans="1:12" x14ac:dyDescent="0.2">
      <c r="A90" s="9">
        <v>46249</v>
      </c>
      <c r="B90" s="3">
        <v>1293</v>
      </c>
      <c r="C90" s="6" t="s">
        <v>265</v>
      </c>
      <c r="D90" s="5">
        <v>12</v>
      </c>
      <c r="E90" s="3" t="s">
        <v>9</v>
      </c>
      <c r="F90" s="3">
        <v>2420</v>
      </c>
      <c r="G90" s="3" t="s">
        <v>266</v>
      </c>
      <c r="H90" s="3" t="s">
        <v>149</v>
      </c>
      <c r="I90" s="1" t="str">
        <f t="shared" si="2"/>
        <v>August 2026</v>
      </c>
      <c r="J90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90" s="1" t="e">
        <f>IF(AND(RawData[[#This Row],[MatchFlag]]=1,COUNTIFS($G$2:G90,RawData[[#This Row],[Picker ID ]],$I$2:I90,RawData[[#This Row],[Month List]],$J$2:J90,1)=1),1,0)</f>
        <v>#REF!</v>
      </c>
      <c r="L90" s="1" t="e">
        <f>IF(AND(RawData[[#This Row],[MatchFlag]]=1,COUNTIFS($H$2:H90,RawData[[#This Row],[Checker ID]],$I$2:I90,RawData[[#This Row],[Month List]],$J$2:J90,1)=1),1,0)</f>
        <v>#REF!</v>
      </c>
    </row>
    <row r="91" spans="1:12" x14ac:dyDescent="0.2">
      <c r="A91" s="9">
        <v>46249</v>
      </c>
      <c r="B91" s="3">
        <v>655467</v>
      </c>
      <c r="C91" s="6" t="s">
        <v>267</v>
      </c>
      <c r="D91" s="5">
        <v>48</v>
      </c>
      <c r="E91" s="3" t="s">
        <v>8</v>
      </c>
      <c r="F91" s="3">
        <v>2420</v>
      </c>
      <c r="G91" s="3" t="s">
        <v>266</v>
      </c>
      <c r="H91" s="3" t="s">
        <v>149</v>
      </c>
      <c r="I91" s="1" t="str">
        <f t="shared" ref="I91:I100" si="3">IF(A91="","",TEXT(A91,"mmmm yyyy"))</f>
        <v>August 2026</v>
      </c>
      <c r="J91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91" s="1" t="e">
        <f>IF(AND(RawData[[#This Row],[MatchFlag]]=1,COUNTIFS($G$2:G91,RawData[[#This Row],[Picker ID ]],$I$2:I91,RawData[[#This Row],[Month List]],$J$2:J91,1)=1),1,0)</f>
        <v>#REF!</v>
      </c>
      <c r="L91" s="1" t="e">
        <f>IF(AND(RawData[[#This Row],[MatchFlag]]=1,COUNTIFS($H$2:H91,RawData[[#This Row],[Checker ID]],$I$2:I91,RawData[[#This Row],[Month List]],$J$2:J91,1)=1),1,0)</f>
        <v>#REF!</v>
      </c>
    </row>
    <row r="92" spans="1:12" x14ac:dyDescent="0.2">
      <c r="A92" s="9">
        <v>46249</v>
      </c>
      <c r="B92" s="3">
        <v>2330947</v>
      </c>
      <c r="C92" s="6" t="s">
        <v>268</v>
      </c>
      <c r="D92" s="5">
        <v>60</v>
      </c>
      <c r="E92" s="3" t="s">
        <v>9</v>
      </c>
      <c r="F92" s="3">
        <v>2252</v>
      </c>
      <c r="G92" s="3" t="s">
        <v>173</v>
      </c>
      <c r="H92" s="3" t="s">
        <v>161</v>
      </c>
      <c r="I92" s="1" t="str">
        <f t="shared" si="3"/>
        <v>August 2026</v>
      </c>
      <c r="J9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92" s="1" t="e">
        <f>IF(AND(RawData[[#This Row],[MatchFlag]]=1,COUNTIFS($G$2:G92,RawData[[#This Row],[Picker ID ]],$I$2:I92,RawData[[#This Row],[Month List]],$J$2:J92,1)=1),1,0)</f>
        <v>#REF!</v>
      </c>
      <c r="L92" s="1" t="e">
        <f>IF(AND(RawData[[#This Row],[MatchFlag]]=1,COUNTIFS($H$2:H92,RawData[[#This Row],[Checker ID]],$I$2:I92,RawData[[#This Row],[Month List]],$J$2:J92,1)=1),1,0)</f>
        <v>#REF!</v>
      </c>
    </row>
    <row r="93" spans="1:12" x14ac:dyDescent="0.2">
      <c r="A93" s="9">
        <v>46250</v>
      </c>
      <c r="B93" s="3">
        <v>2634132</v>
      </c>
      <c r="C93" s="6" t="s">
        <v>270</v>
      </c>
      <c r="D93" s="5">
        <v>36</v>
      </c>
      <c r="E93" s="3" t="s">
        <v>9</v>
      </c>
      <c r="F93" s="3">
        <v>2382</v>
      </c>
      <c r="G93" s="3" t="s">
        <v>148</v>
      </c>
      <c r="H93" s="3" t="s">
        <v>161</v>
      </c>
      <c r="I93" s="1" t="str">
        <f t="shared" si="3"/>
        <v>August 2026</v>
      </c>
      <c r="J9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93" s="1" t="e">
        <f>IF(AND(RawData[[#This Row],[MatchFlag]]=1,COUNTIFS($G$2:G93,RawData[[#This Row],[Picker ID ]],$I$2:I93,RawData[[#This Row],[Month List]],$J$2:J93,1)=1),1,0)</f>
        <v>#REF!</v>
      </c>
      <c r="L93" s="1" t="e">
        <f>IF(AND(RawData[[#This Row],[MatchFlag]]=1,COUNTIFS($H$2:H93,RawData[[#This Row],[Checker ID]],$I$2:I93,RawData[[#This Row],[Month List]],$J$2:J93,1)=1),1,0)</f>
        <v>#REF!</v>
      </c>
    </row>
    <row r="94" spans="1:12" x14ac:dyDescent="0.2">
      <c r="A94" s="9">
        <v>46250</v>
      </c>
      <c r="B94" s="3">
        <v>211840</v>
      </c>
      <c r="C94" s="6" t="s">
        <v>269</v>
      </c>
      <c r="D94" s="5">
        <v>19</v>
      </c>
      <c r="E94" s="3" t="s">
        <v>8</v>
      </c>
      <c r="F94" s="3">
        <v>2380</v>
      </c>
      <c r="G94" s="3" t="s">
        <v>173</v>
      </c>
      <c r="H94" s="3" t="s">
        <v>161</v>
      </c>
      <c r="I94" s="1" t="str">
        <f t="shared" si="3"/>
        <v>August 2026</v>
      </c>
      <c r="J9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94" s="1" t="e">
        <f>IF(AND(RawData[[#This Row],[MatchFlag]]=1,COUNTIFS($G$2:G94,RawData[[#This Row],[Picker ID ]],$I$2:I94,RawData[[#This Row],[Month List]],$J$2:J94,1)=1),1,0)</f>
        <v>#REF!</v>
      </c>
      <c r="L94" s="1" t="e">
        <f>IF(AND(RawData[[#This Row],[MatchFlag]]=1,COUNTIFS($H$2:H94,RawData[[#This Row],[Checker ID]],$I$2:I94,RawData[[#This Row],[Month List]],$J$2:J94,1)=1),1,0)</f>
        <v>#REF!</v>
      </c>
    </row>
    <row r="95" spans="1:12" x14ac:dyDescent="0.2">
      <c r="A95" s="9">
        <v>46250</v>
      </c>
      <c r="B95" s="3">
        <v>2664184</v>
      </c>
      <c r="C95" s="3" t="s">
        <v>271</v>
      </c>
      <c r="D95" s="3">
        <v>12</v>
      </c>
      <c r="E95" s="3" t="s">
        <v>9</v>
      </c>
      <c r="F95" s="3">
        <v>2390</v>
      </c>
      <c r="G95" s="3" t="s">
        <v>175</v>
      </c>
      <c r="H95" s="3" t="s">
        <v>161</v>
      </c>
      <c r="I95" s="1" t="str">
        <f t="shared" si="3"/>
        <v>August 2026</v>
      </c>
      <c r="J95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95" s="1" t="e">
        <f>IF(AND(RawData[[#This Row],[MatchFlag]]=1,COUNTIFS($G$2:G95,RawData[[#This Row],[Picker ID ]],$I$2:I95,RawData[[#This Row],[Month List]],$J$2:J95,1)=1),1,0)</f>
        <v>#REF!</v>
      </c>
      <c r="L95" s="1" t="e">
        <f>IF(AND(RawData[[#This Row],[MatchFlag]]=1,COUNTIFS($H$2:H95,RawData[[#This Row],[Checker ID]],$I$2:I95,RawData[[#This Row],[Month List]],$J$2:J95,1)=1),1,0)</f>
        <v>#REF!</v>
      </c>
    </row>
    <row r="96" spans="1:12" x14ac:dyDescent="0.2">
      <c r="A96" s="9">
        <v>46250</v>
      </c>
      <c r="B96" s="3">
        <v>1059807</v>
      </c>
      <c r="C96" s="6" t="s">
        <v>272</v>
      </c>
      <c r="D96" s="5">
        <v>6</v>
      </c>
      <c r="E96" s="3" t="s">
        <v>9</v>
      </c>
      <c r="F96" s="3">
        <v>2410</v>
      </c>
      <c r="G96" s="3" t="s">
        <v>142</v>
      </c>
      <c r="H96" s="3" t="s">
        <v>215</v>
      </c>
      <c r="I96" s="1" t="str">
        <f t="shared" si="3"/>
        <v>August 2026</v>
      </c>
      <c r="J96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96" s="1" t="e">
        <f>IF(AND(RawData[[#This Row],[MatchFlag]]=1,COUNTIFS($G$2:G96,RawData[[#This Row],[Picker ID ]],$I$2:I96,RawData[[#This Row],[Month List]],$J$2:J96,1)=1),1,0)</f>
        <v>#REF!</v>
      </c>
      <c r="L96" s="1" t="e">
        <f>IF(AND(RawData[[#This Row],[MatchFlag]]=1,COUNTIFS($H$2:H96,RawData[[#This Row],[Checker ID]],$I$2:I96,RawData[[#This Row],[Month List]],$J$2:J96,1)=1),1,0)</f>
        <v>#REF!</v>
      </c>
    </row>
    <row r="97" spans="1:12" x14ac:dyDescent="0.2">
      <c r="A97" s="9">
        <v>46252</v>
      </c>
      <c r="B97" s="3">
        <v>2563229</v>
      </c>
      <c r="C97" s="6" t="s">
        <v>273</v>
      </c>
      <c r="D97" s="5">
        <v>4</v>
      </c>
      <c r="E97" s="3" t="s">
        <v>9</v>
      </c>
      <c r="F97" s="3">
        <v>2344</v>
      </c>
      <c r="G97" s="3" t="s">
        <v>266</v>
      </c>
      <c r="H97" s="3" t="s">
        <v>163</v>
      </c>
      <c r="I97" s="1" t="str">
        <f t="shared" si="3"/>
        <v>August 2026</v>
      </c>
      <c r="J97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97" s="1" t="e">
        <f>IF(AND(RawData[[#This Row],[MatchFlag]]=1,COUNTIFS($G$2:G97,RawData[[#This Row],[Picker ID ]],$I$2:I97,RawData[[#This Row],[Month List]],$J$2:J97,1)=1),1,0)</f>
        <v>#REF!</v>
      </c>
      <c r="L97" s="1" t="e">
        <f>IF(AND(RawData[[#This Row],[MatchFlag]]=1,COUNTIFS($H$2:H97,RawData[[#This Row],[Checker ID]],$I$2:I97,RawData[[#This Row],[Month List]],$J$2:J97,1)=1),1,0)</f>
        <v>#REF!</v>
      </c>
    </row>
    <row r="98" spans="1:12" x14ac:dyDescent="0.2">
      <c r="A98" s="9">
        <v>46252</v>
      </c>
      <c r="B98" s="3">
        <v>2561375</v>
      </c>
      <c r="C98" s="6" t="s">
        <v>274</v>
      </c>
      <c r="D98" s="5">
        <v>12</v>
      </c>
      <c r="E98" s="3" t="s">
        <v>8</v>
      </c>
      <c r="F98" s="3">
        <v>2344</v>
      </c>
      <c r="G98" s="3" t="s">
        <v>266</v>
      </c>
      <c r="H98" s="3" t="s">
        <v>163</v>
      </c>
      <c r="I98" s="1" t="str">
        <f t="shared" si="3"/>
        <v>August 2026</v>
      </c>
      <c r="J98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98" s="1" t="e">
        <f>IF(AND(RawData[[#This Row],[MatchFlag]]=1,COUNTIFS($G$2:G98,RawData[[#This Row],[Picker ID ]],$I$2:I98,RawData[[#This Row],[Month List]],$J$2:J98,1)=1),1,0)</f>
        <v>#REF!</v>
      </c>
      <c r="L98" s="1" t="e">
        <f>IF(AND(RawData[[#This Row],[MatchFlag]]=1,COUNTIFS($H$2:H98,RawData[[#This Row],[Checker ID]],$I$2:I98,RawData[[#This Row],[Month List]],$J$2:J98,1)=1),1,0)</f>
        <v>#REF!</v>
      </c>
    </row>
    <row r="99" spans="1:12" x14ac:dyDescent="0.2">
      <c r="A99" s="9">
        <v>46252</v>
      </c>
      <c r="B99" s="3">
        <v>2579500</v>
      </c>
      <c r="C99" s="6" t="s">
        <v>275</v>
      </c>
      <c r="D99" s="5">
        <v>6</v>
      </c>
      <c r="E99" s="3" t="s">
        <v>9</v>
      </c>
      <c r="F99" s="3">
        <v>2420</v>
      </c>
      <c r="G99" s="3" t="s">
        <v>276</v>
      </c>
      <c r="H99" s="3" t="s">
        <v>163</v>
      </c>
      <c r="I99" s="1" t="str">
        <f t="shared" si="3"/>
        <v>August 2026</v>
      </c>
      <c r="J99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99" s="1" t="e">
        <f>IF(AND(RawData[[#This Row],[MatchFlag]]=1,COUNTIFS($G$2:G99,RawData[[#This Row],[Picker ID ]],$I$2:I99,RawData[[#This Row],[Month List]],$J$2:J99,1)=1),1,0)</f>
        <v>#REF!</v>
      </c>
      <c r="L99" s="1" t="e">
        <f>IF(AND(RawData[[#This Row],[MatchFlag]]=1,COUNTIFS($H$2:H99,RawData[[#This Row],[Checker ID]],$I$2:I99,RawData[[#This Row],[Month List]],$J$2:J99,1)=1),1,0)</f>
        <v>#REF!</v>
      </c>
    </row>
    <row r="100" spans="1:12" x14ac:dyDescent="0.2">
      <c r="A100" s="9">
        <v>46253</v>
      </c>
      <c r="B100" s="3">
        <v>2372721</v>
      </c>
      <c r="C100" s="6" t="s">
        <v>277</v>
      </c>
      <c r="D100" s="5">
        <v>6</v>
      </c>
      <c r="E100" s="3" t="s">
        <v>9</v>
      </c>
      <c r="F100" s="3">
        <v>2286</v>
      </c>
      <c r="G100" s="3" t="s">
        <v>167</v>
      </c>
      <c r="H100" s="3" t="s">
        <v>149</v>
      </c>
      <c r="I100" s="1" t="str">
        <f t="shared" si="3"/>
        <v>August 2026</v>
      </c>
      <c r="J100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00" s="1" t="e">
        <f>IF(AND(RawData[[#This Row],[MatchFlag]]=1,COUNTIFS($G$2:G100,RawData[[#This Row],[Picker ID ]],$I$2:I100,RawData[[#This Row],[Month List]],$J$2:J100,1)=1),1,0)</f>
        <v>#REF!</v>
      </c>
      <c r="L100" s="1" t="e">
        <f>IF(AND(RawData[[#This Row],[MatchFlag]]=1,COUNTIFS($H$2:H100,RawData[[#This Row],[Checker ID]],$I$2:I100,RawData[[#This Row],[Month List]],$J$2:J100,1)=1),1,0)</f>
        <v>#REF!</v>
      </c>
    </row>
    <row r="101" spans="1:12" x14ac:dyDescent="0.2">
      <c r="A101" s="9">
        <v>46253</v>
      </c>
      <c r="B101" s="3">
        <v>783689</v>
      </c>
      <c r="C101" s="6" t="s">
        <v>278</v>
      </c>
      <c r="D101" s="5">
        <v>24</v>
      </c>
      <c r="E101" s="3" t="s">
        <v>9</v>
      </c>
      <c r="F101" s="3">
        <v>2286</v>
      </c>
      <c r="G101" s="3" t="s">
        <v>167</v>
      </c>
      <c r="H101" s="3" t="s">
        <v>149</v>
      </c>
      <c r="I101" s="1" t="str">
        <f t="shared" ref="I101" si="4">IF(A101="","",TEXT(A101,"mmmm yyyy"))</f>
        <v>August 2026</v>
      </c>
      <c r="J101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01" s="1" t="e">
        <f>IF(AND(RawData[[#This Row],[MatchFlag]]=1,COUNTIFS($G$2:G114,RawData[[#This Row],[Picker ID ]],$I$2:I114,RawData[[#This Row],[Month List]],$J$2:J114,1)=1),1,0)</f>
        <v>#REF!</v>
      </c>
      <c r="L101" s="1" t="e">
        <f>IF(AND(RawData[[#This Row],[MatchFlag]]=1,COUNTIFS($H$2:H114,RawData[[#This Row],[Checker ID]],$I$2:I114,RawData[[#This Row],[Month List]],$J$2:J114,1)=1),1,0)</f>
        <v>#REF!</v>
      </c>
    </row>
    <row r="102" spans="1:12" x14ac:dyDescent="0.2">
      <c r="A102" s="9">
        <v>46253</v>
      </c>
      <c r="B102" s="3">
        <v>800536</v>
      </c>
      <c r="C102" s="6" t="s">
        <v>279</v>
      </c>
      <c r="D102" s="5">
        <v>6</v>
      </c>
      <c r="E102" s="3" t="s">
        <v>8</v>
      </c>
      <c r="F102" s="3">
        <v>2286</v>
      </c>
      <c r="G102" s="3" t="s">
        <v>167</v>
      </c>
      <c r="H102" s="3" t="s">
        <v>149</v>
      </c>
      <c r="I102" s="1" t="str">
        <f t="shared" ref="I102:I114" si="5">IF(A102="","",TEXT(A102,"mmmm yyyy"))</f>
        <v>August 2026</v>
      </c>
      <c r="J10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02" s="1" t="e">
        <f>IF(AND(RawData[[#This Row],[MatchFlag]]=1,COUNTIFS($G$2:G114,RawData[[#This Row],[Picker ID ]],$I$2:I114,RawData[[#This Row],[Month List]],$J$2:J114,1)=1),1,0)</f>
        <v>#REF!</v>
      </c>
      <c r="L102" s="1" t="e">
        <f>IF(AND(RawData[[#This Row],[MatchFlag]]=1,COUNTIFS($H$2:H114,RawData[[#This Row],[Checker ID]],$I$2:I114,RawData[[#This Row],[Month List]],$J$2:J114,1)=1),1,0)</f>
        <v>#REF!</v>
      </c>
    </row>
    <row r="103" spans="1:12" x14ac:dyDescent="0.2">
      <c r="A103" s="9">
        <v>46254</v>
      </c>
      <c r="B103" s="3">
        <v>2113852</v>
      </c>
      <c r="C103" s="6" t="s">
        <v>280</v>
      </c>
      <c r="D103" s="5">
        <v>12</v>
      </c>
      <c r="E103" s="3" t="s">
        <v>9</v>
      </c>
      <c r="F103" s="3">
        <v>2300</v>
      </c>
      <c r="G103" s="3" t="s">
        <v>170</v>
      </c>
      <c r="H103" s="3" t="s">
        <v>135</v>
      </c>
      <c r="I103" s="1" t="str">
        <f t="shared" si="5"/>
        <v>August 2026</v>
      </c>
      <c r="J10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03" s="1" t="e">
        <f>IF(AND(RawData[[#This Row],[MatchFlag]]=1,COUNTIFS($G$2:G114,RawData[[#This Row],[Picker ID ]],$I$2:I114,RawData[[#This Row],[Month List]],$J$2:J114,1)=1),1,0)</f>
        <v>#REF!</v>
      </c>
      <c r="L103" s="1" t="e">
        <f>IF(AND(RawData[[#This Row],[MatchFlag]]=1,COUNTIFS($H$2:H114,RawData[[#This Row],[Checker ID]],$I$2:I114,RawData[[#This Row],[Month List]],$J$2:J114,1)=1),1,0)</f>
        <v>#REF!</v>
      </c>
    </row>
    <row r="104" spans="1:12" x14ac:dyDescent="0.2">
      <c r="A104" s="9">
        <v>46254</v>
      </c>
      <c r="B104" s="3">
        <v>525825</v>
      </c>
      <c r="C104" s="6" t="s">
        <v>281</v>
      </c>
      <c r="D104" s="5">
        <v>24</v>
      </c>
      <c r="E104" s="3" t="s">
        <v>8</v>
      </c>
      <c r="F104" s="3">
        <v>2300</v>
      </c>
      <c r="G104" s="3" t="s">
        <v>170</v>
      </c>
      <c r="H104" s="3" t="s">
        <v>135</v>
      </c>
      <c r="I104" s="1" t="str">
        <f t="shared" si="5"/>
        <v>August 2026</v>
      </c>
      <c r="J10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04" s="1" t="e">
        <f>IF(AND(RawData[[#This Row],[MatchFlag]]=1,COUNTIFS($G$2:G114,RawData[[#This Row],[Picker ID ]],$I$2:I114,RawData[[#This Row],[Month List]],$J$2:J114,1)=1),1,0)</f>
        <v>#REF!</v>
      </c>
      <c r="L104" s="1" t="e">
        <f>IF(AND(RawData[[#This Row],[MatchFlag]]=1,COUNTIFS($H$2:H114,RawData[[#This Row],[Checker ID]],$I$2:I114,RawData[[#This Row],[Month List]],$J$2:J114,1)=1),1,0)</f>
        <v>#REF!</v>
      </c>
    </row>
    <row r="105" spans="1:12" x14ac:dyDescent="0.2">
      <c r="A105" s="9">
        <v>46254</v>
      </c>
      <c r="B105" s="3">
        <v>153707</v>
      </c>
      <c r="C105" s="6" t="s">
        <v>282</v>
      </c>
      <c r="D105" s="5">
        <v>6</v>
      </c>
      <c r="E105" s="3" t="s">
        <v>8</v>
      </c>
      <c r="F105" s="3">
        <v>2390</v>
      </c>
      <c r="G105" s="3" t="s">
        <v>158</v>
      </c>
      <c r="H105" s="3" t="s">
        <v>215</v>
      </c>
      <c r="I105" s="1" t="str">
        <f t="shared" si="5"/>
        <v>August 2026</v>
      </c>
      <c r="J105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05" s="1" t="e">
        <f>IF(AND(RawData[[#This Row],[MatchFlag]]=1,COUNTIFS($G$2:G114,RawData[[#This Row],[Picker ID ]],$I$2:I114,RawData[[#This Row],[Month List]],$J$2:J114,1)=1),1,0)</f>
        <v>#REF!</v>
      </c>
      <c r="L105" s="1" t="e">
        <f>IF(AND(RawData[[#This Row],[MatchFlag]]=1,COUNTIFS($H$2:H114,RawData[[#This Row],[Checker ID]],$I$2:I114,RawData[[#This Row],[Month List]],$J$2:J114,1)=1),1,0)</f>
        <v>#REF!</v>
      </c>
    </row>
    <row r="106" spans="1:12" x14ac:dyDescent="0.2">
      <c r="A106" s="9">
        <v>46255</v>
      </c>
      <c r="B106" s="3">
        <v>2235001</v>
      </c>
      <c r="C106" s="6" t="s">
        <v>283</v>
      </c>
      <c r="D106" s="5">
        <v>12</v>
      </c>
      <c r="E106" s="3" t="s">
        <v>8</v>
      </c>
      <c r="F106" s="3">
        <v>2382</v>
      </c>
      <c r="G106" s="3" t="s">
        <v>284</v>
      </c>
      <c r="H106" s="3" t="s">
        <v>161</v>
      </c>
      <c r="I106" s="1" t="str">
        <f t="shared" si="5"/>
        <v>August 2026</v>
      </c>
      <c r="J106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06" s="1" t="e">
        <f>IF(AND(RawData[[#This Row],[MatchFlag]]=1,COUNTIFS($G$2:G114,RawData[[#This Row],[Picker ID ]],$I$2:I114,RawData[[#This Row],[Month List]],$J$2:J114,1)=1),1,0)</f>
        <v>#REF!</v>
      </c>
      <c r="L106" s="1" t="e">
        <f>IF(AND(RawData[[#This Row],[MatchFlag]]=1,COUNTIFS($H$2:H114,RawData[[#This Row],[Checker ID]],$I$2:I114,RawData[[#This Row],[Month List]],$J$2:J114,1)=1),1,0)</f>
        <v>#REF!</v>
      </c>
    </row>
    <row r="107" spans="1:12" x14ac:dyDescent="0.2">
      <c r="A107" s="9">
        <v>46255</v>
      </c>
      <c r="B107" s="3">
        <v>1108510</v>
      </c>
      <c r="C107" s="6" t="s">
        <v>285</v>
      </c>
      <c r="D107" s="5">
        <v>12</v>
      </c>
      <c r="E107" s="3" t="s">
        <v>9</v>
      </c>
      <c r="F107" s="3">
        <v>2255</v>
      </c>
      <c r="G107" s="3" t="s">
        <v>148</v>
      </c>
      <c r="H107" s="3" t="s">
        <v>149</v>
      </c>
      <c r="I107" s="1" t="str">
        <f t="shared" si="5"/>
        <v>August 2026</v>
      </c>
      <c r="J107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07" s="1" t="e">
        <f>IF(AND(RawData[[#This Row],[MatchFlag]]=1,COUNTIFS($G$2:G114,RawData[[#This Row],[Picker ID ]],$I$2:I114,RawData[[#This Row],[Month List]],$J$2:J114,1)=1),1,0)</f>
        <v>#REF!</v>
      </c>
      <c r="L107" s="1" t="e">
        <f>IF(AND(RawData[[#This Row],[MatchFlag]]=1,COUNTIFS($H$2:H114,RawData[[#This Row],[Checker ID]],$I$2:I114,RawData[[#This Row],[Month List]],$J$2:J114,1)=1),1,0)</f>
        <v>#REF!</v>
      </c>
    </row>
    <row r="108" spans="1:12" x14ac:dyDescent="0.2">
      <c r="A108" s="9">
        <v>46256</v>
      </c>
      <c r="B108" s="3">
        <v>1499938</v>
      </c>
      <c r="C108" s="6" t="s">
        <v>286</v>
      </c>
      <c r="D108" s="5">
        <v>10</v>
      </c>
      <c r="E108" s="3" t="s">
        <v>9</v>
      </c>
      <c r="F108" s="3">
        <v>2382</v>
      </c>
      <c r="G108" s="3" t="s">
        <v>264</v>
      </c>
      <c r="H108" s="3" t="s">
        <v>161</v>
      </c>
      <c r="I108" s="1" t="str">
        <f t="shared" si="5"/>
        <v>August 2026</v>
      </c>
      <c r="J108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08" s="1" t="e">
        <f>IF(AND(RawData[[#This Row],[MatchFlag]]=1,COUNTIFS($G$2:G114,RawData[[#This Row],[Picker ID ]],$I$2:I114,RawData[[#This Row],[Month List]],$J$2:J114,1)=1),1,0)</f>
        <v>#REF!</v>
      </c>
      <c r="L108" s="1" t="e">
        <f>IF(AND(RawData[[#This Row],[MatchFlag]]=1,COUNTIFS($H$2:H114,RawData[[#This Row],[Checker ID]],$I$2:I114,RawData[[#This Row],[Month List]],$J$2:J114,1)=1),1,0)</f>
        <v>#REF!</v>
      </c>
    </row>
    <row r="109" spans="1:12" x14ac:dyDescent="0.2">
      <c r="A109" s="9">
        <v>46256</v>
      </c>
      <c r="B109" s="3">
        <v>2297614</v>
      </c>
      <c r="C109" s="6" t="s">
        <v>287</v>
      </c>
      <c r="D109" s="5">
        <v>12</v>
      </c>
      <c r="E109" s="3" t="s">
        <v>9</v>
      </c>
      <c r="F109" s="3">
        <v>2300</v>
      </c>
      <c r="G109" s="3" t="s">
        <v>225</v>
      </c>
      <c r="H109" s="3" t="s">
        <v>215</v>
      </c>
      <c r="I109" s="1" t="str">
        <f t="shared" si="5"/>
        <v>August 2026</v>
      </c>
      <c r="J109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09" s="1" t="e">
        <f>IF(AND(RawData[[#This Row],[MatchFlag]]=1,COUNTIFS($G$2:G114,RawData[[#This Row],[Picker ID ]],$I$2:I114,RawData[[#This Row],[Month List]],$J$2:J114,1)=1),1,0)</f>
        <v>#REF!</v>
      </c>
      <c r="L109" s="1" t="e">
        <f>IF(AND(RawData[[#This Row],[MatchFlag]]=1,COUNTIFS($H$2:H114,RawData[[#This Row],[Checker ID]],$I$2:I114,RawData[[#This Row],[Month List]],$J$2:J114,1)=1),1,0)</f>
        <v>#REF!</v>
      </c>
    </row>
    <row r="110" spans="1:12" x14ac:dyDescent="0.2">
      <c r="A110" s="9">
        <v>46256</v>
      </c>
      <c r="B110" s="3">
        <v>266458</v>
      </c>
      <c r="C110" s="6" t="s">
        <v>288</v>
      </c>
      <c r="D110" s="5">
        <v>24</v>
      </c>
      <c r="E110" s="3" t="s">
        <v>9</v>
      </c>
      <c r="F110" s="3">
        <v>2270</v>
      </c>
      <c r="G110" s="3" t="s">
        <v>188</v>
      </c>
      <c r="H110" s="3" t="s">
        <v>215</v>
      </c>
      <c r="I110" s="1" t="str">
        <f t="shared" si="5"/>
        <v>August 2026</v>
      </c>
      <c r="J110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10" s="1" t="e">
        <f>IF(AND(RawData[[#This Row],[MatchFlag]]=1,COUNTIFS($G$2:G114,RawData[[#This Row],[Picker ID ]],$I$2:I114,RawData[[#This Row],[Month List]],$J$2:J114,1)=1),1,0)</f>
        <v>#REF!</v>
      </c>
      <c r="L110" s="1" t="e">
        <f>IF(AND(RawData[[#This Row],[MatchFlag]]=1,COUNTIFS($H$2:H114,RawData[[#This Row],[Checker ID]],$I$2:I114,RawData[[#This Row],[Month List]],$J$2:J114,1)=1),1,0)</f>
        <v>#REF!</v>
      </c>
    </row>
    <row r="111" spans="1:12" x14ac:dyDescent="0.2">
      <c r="A111" s="9">
        <v>46257</v>
      </c>
      <c r="B111" s="3">
        <v>1568011</v>
      </c>
      <c r="C111" s="6" t="s">
        <v>289</v>
      </c>
      <c r="D111" s="5">
        <v>2</v>
      </c>
      <c r="E111" s="3" t="s">
        <v>9</v>
      </c>
      <c r="F111" s="3">
        <v>2270</v>
      </c>
      <c r="G111" s="3" t="s">
        <v>290</v>
      </c>
      <c r="H111" s="3" t="s">
        <v>163</v>
      </c>
      <c r="I111" s="1" t="str">
        <f t="shared" si="5"/>
        <v>August 2026</v>
      </c>
      <c r="J111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11" s="1" t="e">
        <f>IF(AND(RawData[[#This Row],[MatchFlag]]=1,COUNTIFS($G$2:G114,RawData[[#This Row],[Picker ID ]],$I$2:I114,RawData[[#This Row],[Month List]],$J$2:J114,1)=1),1,0)</f>
        <v>#REF!</v>
      </c>
      <c r="L111" s="1" t="e">
        <f>IF(AND(RawData[[#This Row],[MatchFlag]]=1,COUNTIFS($H$2:H114,RawData[[#This Row],[Checker ID]],$I$2:I114,RawData[[#This Row],[Month List]],$J$2:J114,1)=1),1,0)</f>
        <v>#REF!</v>
      </c>
    </row>
    <row r="112" spans="1:12" x14ac:dyDescent="0.2">
      <c r="A112" s="9">
        <v>46257</v>
      </c>
      <c r="B112" s="3">
        <v>2240921</v>
      </c>
      <c r="C112" s="6" t="s">
        <v>291</v>
      </c>
      <c r="D112" s="5">
        <v>3</v>
      </c>
      <c r="E112" s="3" t="s">
        <v>9</v>
      </c>
      <c r="F112" s="3">
        <v>2270</v>
      </c>
      <c r="G112" s="3" t="s">
        <v>290</v>
      </c>
      <c r="H112" s="3" t="s">
        <v>163</v>
      </c>
      <c r="I112" s="1" t="str">
        <f t="shared" si="5"/>
        <v>August 2026</v>
      </c>
      <c r="J112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12" s="1" t="e">
        <f>IF(AND(RawData[[#This Row],[MatchFlag]]=1,COUNTIFS($G$2:G114,RawData[[#This Row],[Picker ID ]],$I$2:I114,RawData[[#This Row],[Month List]],$J$2:J114,1)=1),1,0)</f>
        <v>#REF!</v>
      </c>
      <c r="L112" s="1" t="e">
        <f>IF(AND(RawData[[#This Row],[MatchFlag]]=1,COUNTIFS($H$2:H114,RawData[[#This Row],[Checker ID]],$I$2:I114,RawData[[#This Row],[Month List]],$J$2:J114,1)=1),1,0)</f>
        <v>#REF!</v>
      </c>
    </row>
    <row r="113" spans="1:12" x14ac:dyDescent="0.2">
      <c r="A113" s="9">
        <v>46257</v>
      </c>
      <c r="B113" s="3">
        <v>2694191</v>
      </c>
      <c r="C113" s="6" t="s">
        <v>292</v>
      </c>
      <c r="D113" s="5">
        <v>6</v>
      </c>
      <c r="E113" s="3" t="s">
        <v>9</v>
      </c>
      <c r="F113" s="3">
        <v>2300</v>
      </c>
      <c r="G113" s="3" t="s">
        <v>241</v>
      </c>
      <c r="H113" s="3" t="s">
        <v>163</v>
      </c>
      <c r="I113" s="1" t="str">
        <f t="shared" si="5"/>
        <v>August 2026</v>
      </c>
      <c r="J113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13" s="1" t="e">
        <f>IF(AND(RawData[[#This Row],[MatchFlag]]=1,COUNTIFS($G$2:G114,RawData[[#This Row],[Picker ID ]],$I$2:I114,RawData[[#This Row],[Month List]],$J$2:J114,1)=1),1,0)</f>
        <v>#REF!</v>
      </c>
      <c r="L113" s="1" t="e">
        <f>IF(AND(RawData[[#This Row],[MatchFlag]]=1,COUNTIFS($H$2:H114,RawData[[#This Row],[Checker ID]],$I$2:I114,RawData[[#This Row],[Month List]],$J$2:J114,1)=1),1,0)</f>
        <v>#REF!</v>
      </c>
    </row>
    <row r="114" spans="1:12" x14ac:dyDescent="0.2">
      <c r="A114" s="9">
        <v>46257</v>
      </c>
      <c r="B114" s="3">
        <v>651680</v>
      </c>
      <c r="C114" s="6" t="s">
        <v>293</v>
      </c>
      <c r="D114" s="5">
        <v>4</v>
      </c>
      <c r="E114" s="3" t="s">
        <v>9</v>
      </c>
      <c r="F114" s="3">
        <v>2270</v>
      </c>
      <c r="G114" s="3" t="s">
        <v>264</v>
      </c>
      <c r="H114" s="3" t="s">
        <v>161</v>
      </c>
      <c r="I114" s="1" t="str">
        <f t="shared" si="5"/>
        <v>August 2026</v>
      </c>
      <c r="J114" s="1" t="e">
        <f>IF(AND(OR(#REF!="ALL",RawData[[#This Row],[Month List]]=#REF!),OR(#REF!="ALL",RawData[[#This Row],[Tour/Site]]=#REF!),OR(#REF!="ALL",RawData[[#This Row],[Picker ID ]]=#REF!),OR(#REF!="ALL",RawData[[#This Row],[Checker ID]]=#REF!),OR(#REF!="ALL",RawData[[#This Row],[Error Type ]]=#REF!)),1,0)</f>
        <v>#REF!</v>
      </c>
      <c r="K114" s="1" t="e">
        <f>IF(AND(RawData[[#This Row],[MatchFlag]]=1,COUNTIFS($G$2:G114,RawData[[#This Row],[Picker ID ]],$I$2:I114,RawData[[#This Row],[Month List]],$J$2:J114,1)=1),1,0)</f>
        <v>#REF!</v>
      </c>
      <c r="L114" s="1" t="e">
        <f>IF(AND(RawData[[#This Row],[MatchFlag]]=1,COUNTIFS($H$2:H114,RawData[[#This Row],[Checker ID]],$I$2:I114,RawData[[#This Row],[Month List]],$J$2:J114,1)=1),1,0)</f>
        <v>#REF!</v>
      </c>
    </row>
  </sheetData>
  <phoneticPr fontId="2" type="noConversion"/>
  <conditionalFormatting sqref="E1:E1048576">
    <cfRule type="containsText" dxfId="1" priority="3" operator="containsText" text="Short">
      <formula>NOT(ISERROR(SEARCH("Short",E1)))</formula>
    </cfRule>
  </conditionalFormatting>
  <conditionalFormatting sqref="E2:E1048576">
    <cfRule type="containsText" dxfId="0" priority="4" operator="containsText" text="Excess">
      <formula>NOT(ISERROR(SEARCH("Excess",E2)))</formula>
    </cfRule>
  </conditionalFormatting>
  <dataValidations count="4">
    <dataValidation type="list" allowBlank="1" showInputMessage="1" showErrorMessage="1" sqref="E2:E1048576" xr:uid="{06DB2C99-9C8B-4257-A51F-21DB8EE10762}">
      <formula1>"Short, Excess"</formula1>
    </dataValidation>
    <dataValidation type="list" allowBlank="1" showInputMessage="1" showErrorMessage="1" sqref="G2:G1048576" xr:uid="{347FA231-EEE3-411C-9F0E-F641E1409ECA}">
      <formula1>$G$2:$G$9963</formula1>
    </dataValidation>
    <dataValidation type="list" allowBlank="1" showInputMessage="1" showErrorMessage="1" sqref="F2:F1048576" xr:uid="{8C9986F8-EF0C-4208-AABF-CB99B6935168}">
      <formula1>$F$2:$F$9963</formula1>
    </dataValidation>
    <dataValidation type="list" allowBlank="1" showInputMessage="1" showErrorMessage="1" sqref="H2:H1048576" xr:uid="{8C51105E-3091-44A8-ACA5-79F84DBB7A24}">
      <formula1>$H$2:$H$963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B5E1-028A-4CDB-B406-EAFDA0895AA5}">
  <dimension ref="A1:F139"/>
  <sheetViews>
    <sheetView showGridLines="0" topLeftCell="A124" workbookViewId="0">
      <selection activeCell="C136" sqref="C136"/>
    </sheetView>
  </sheetViews>
  <sheetFormatPr defaultColWidth="30.66796875" defaultRowHeight="15" x14ac:dyDescent="0.2"/>
  <sheetData>
    <row r="1" spans="1:6" ht="21" x14ac:dyDescent="0.3">
      <c r="A1" s="21" t="s">
        <v>26</v>
      </c>
      <c r="B1" s="21"/>
      <c r="C1" s="21"/>
      <c r="D1" s="21"/>
      <c r="E1" s="21"/>
      <c r="F1" s="18"/>
    </row>
    <row r="3" spans="1:6" ht="18.75" x14ac:dyDescent="0.2">
      <c r="A3" s="20" t="s">
        <v>27</v>
      </c>
      <c r="B3" s="20"/>
      <c r="C3" s="20"/>
      <c r="D3" s="20"/>
      <c r="E3" s="20"/>
      <c r="F3" s="17"/>
    </row>
    <row r="4" spans="1:6" ht="18.75" x14ac:dyDescent="0.2">
      <c r="A4" s="12"/>
      <c r="B4" s="12"/>
      <c r="C4" s="12"/>
      <c r="D4" s="12"/>
      <c r="E4" s="12"/>
      <c r="F4" s="12"/>
    </row>
    <row r="5" spans="1:6" x14ac:dyDescent="0.2">
      <c r="B5" s="19" t="s">
        <v>48</v>
      </c>
      <c r="C5" s="19"/>
      <c r="D5" s="19"/>
    </row>
    <row r="6" spans="1:6" x14ac:dyDescent="0.2">
      <c r="B6" s="11"/>
      <c r="C6" s="11"/>
      <c r="D6" s="11"/>
    </row>
    <row r="7" spans="1:6" x14ac:dyDescent="0.2">
      <c r="B7" s="14" t="s">
        <v>28</v>
      </c>
      <c r="C7" s="15" t="s">
        <v>29</v>
      </c>
      <c r="D7" s="14" t="s">
        <v>26</v>
      </c>
    </row>
    <row r="8" spans="1:6" x14ac:dyDescent="0.2">
      <c r="B8" s="16" t="s">
        <v>30</v>
      </c>
      <c r="C8" s="16" t="s">
        <v>31</v>
      </c>
      <c r="D8" s="16"/>
    </row>
    <row r="9" spans="1:6" x14ac:dyDescent="0.2">
      <c r="B9" s="16" t="s">
        <v>32</v>
      </c>
      <c r="C9" s="16" t="s">
        <v>34</v>
      </c>
      <c r="D9" s="16" t="s">
        <v>33</v>
      </c>
    </row>
    <row r="10" spans="1:6" x14ac:dyDescent="0.2">
      <c r="B10" s="16" t="s">
        <v>38</v>
      </c>
      <c r="C10" s="16" t="s">
        <v>37</v>
      </c>
      <c r="D10" s="16" t="s">
        <v>36</v>
      </c>
    </row>
    <row r="11" spans="1:6" x14ac:dyDescent="0.2">
      <c r="B11" s="16" t="s">
        <v>41</v>
      </c>
      <c r="C11" s="16" t="s">
        <v>40</v>
      </c>
      <c r="D11" s="16" t="s">
        <v>39</v>
      </c>
    </row>
    <row r="12" spans="1:6" x14ac:dyDescent="0.2">
      <c r="B12" s="16" t="s">
        <v>44</v>
      </c>
      <c r="C12" s="16" t="s">
        <v>43</v>
      </c>
      <c r="D12" s="16" t="s">
        <v>42</v>
      </c>
    </row>
    <row r="13" spans="1:6" x14ac:dyDescent="0.2">
      <c r="B13" s="16" t="s">
        <v>47</v>
      </c>
      <c r="C13" s="16" t="s">
        <v>46</v>
      </c>
      <c r="D13" s="16" t="s">
        <v>45</v>
      </c>
    </row>
    <row r="15" spans="1:6" x14ac:dyDescent="0.2">
      <c r="B15" s="19" t="s">
        <v>50</v>
      </c>
      <c r="C15" s="19"/>
      <c r="D15" s="19"/>
    </row>
    <row r="16" spans="1:6" x14ac:dyDescent="0.2">
      <c r="B16" s="13"/>
      <c r="C16" s="13"/>
      <c r="D16" s="13"/>
    </row>
    <row r="17" spans="2:4" x14ac:dyDescent="0.2">
      <c r="B17" s="14" t="s">
        <v>28</v>
      </c>
      <c r="C17" s="15" t="s">
        <v>29</v>
      </c>
      <c r="D17" s="14" t="s">
        <v>26</v>
      </c>
    </row>
    <row r="18" spans="2:4" x14ac:dyDescent="0.2">
      <c r="B18" s="16" t="s">
        <v>51</v>
      </c>
      <c r="C18" s="16" t="s">
        <v>52</v>
      </c>
      <c r="D18" s="16" t="s">
        <v>49</v>
      </c>
    </row>
    <row r="19" spans="2:4" x14ac:dyDescent="0.2">
      <c r="B19" s="16" t="s">
        <v>54</v>
      </c>
      <c r="C19" s="16" t="s">
        <v>55</v>
      </c>
      <c r="D19" s="16" t="s">
        <v>53</v>
      </c>
    </row>
    <row r="20" spans="2:4" x14ac:dyDescent="0.2">
      <c r="B20" s="16" t="s">
        <v>56</v>
      </c>
      <c r="C20" s="16" t="s">
        <v>58</v>
      </c>
      <c r="D20" s="16" t="s">
        <v>57</v>
      </c>
    </row>
    <row r="21" spans="2:4" x14ac:dyDescent="0.2">
      <c r="B21" s="16" t="s">
        <v>59</v>
      </c>
      <c r="C21" s="16" t="s">
        <v>60</v>
      </c>
      <c r="D21" s="16" t="s">
        <v>61</v>
      </c>
    </row>
    <row r="22" spans="2:4" x14ac:dyDescent="0.2">
      <c r="B22" s="16" t="s">
        <v>64</v>
      </c>
      <c r="C22" s="16" t="s">
        <v>63</v>
      </c>
      <c r="D22" s="16" t="s">
        <v>62</v>
      </c>
    </row>
    <row r="23" spans="2:4" x14ac:dyDescent="0.2">
      <c r="B23" s="16" t="s">
        <v>65</v>
      </c>
      <c r="C23" s="16" t="s">
        <v>67</v>
      </c>
      <c r="D23" s="16" t="s">
        <v>66</v>
      </c>
    </row>
    <row r="24" spans="2:4" x14ac:dyDescent="0.2">
      <c r="B24" s="16" t="s">
        <v>68</v>
      </c>
      <c r="C24" s="16" t="s">
        <v>70</v>
      </c>
      <c r="D24" s="16" t="s">
        <v>69</v>
      </c>
    </row>
    <row r="25" spans="2:4" x14ac:dyDescent="0.2">
      <c r="B25" s="16" t="s">
        <v>71</v>
      </c>
      <c r="C25" s="16" t="s">
        <v>10</v>
      </c>
      <c r="D25" s="16" t="s">
        <v>72</v>
      </c>
    </row>
    <row r="27" spans="2:4" x14ac:dyDescent="0.2">
      <c r="B27" s="19" t="s">
        <v>73</v>
      </c>
      <c r="C27" s="19"/>
      <c r="D27" s="19"/>
    </row>
    <row r="29" spans="2:4" x14ac:dyDescent="0.2">
      <c r="B29" s="14" t="s">
        <v>28</v>
      </c>
      <c r="C29" s="15" t="s">
        <v>29</v>
      </c>
      <c r="D29" s="14" t="s">
        <v>26</v>
      </c>
    </row>
    <row r="30" spans="2:4" x14ac:dyDescent="0.2">
      <c r="B30" s="16" t="s">
        <v>74</v>
      </c>
      <c r="C30" s="16" t="s">
        <v>75</v>
      </c>
      <c r="D30" s="16" t="s">
        <v>76</v>
      </c>
    </row>
    <row r="31" spans="2:4" x14ac:dyDescent="0.2">
      <c r="B31" s="16" t="s">
        <v>78</v>
      </c>
      <c r="C31" s="16" t="s">
        <v>79</v>
      </c>
      <c r="D31" s="16" t="s">
        <v>77</v>
      </c>
    </row>
    <row r="34" spans="1:5" ht="18.75" x14ac:dyDescent="0.2">
      <c r="A34" s="20" t="s">
        <v>80</v>
      </c>
      <c r="B34" s="20"/>
      <c r="C34" s="20"/>
      <c r="D34" s="20"/>
      <c r="E34" s="20"/>
    </row>
    <row r="36" spans="1:5" x14ac:dyDescent="0.2">
      <c r="B36" s="19" t="s">
        <v>48</v>
      </c>
      <c r="C36" s="19"/>
      <c r="D36" s="19"/>
    </row>
    <row r="38" spans="1:5" x14ac:dyDescent="0.2">
      <c r="B38" s="14" t="s">
        <v>28</v>
      </c>
      <c r="C38" s="15" t="s">
        <v>29</v>
      </c>
      <c r="D38" s="14" t="s">
        <v>26</v>
      </c>
    </row>
    <row r="39" spans="1:5" x14ac:dyDescent="0.2">
      <c r="B39" s="16" t="s">
        <v>30</v>
      </c>
      <c r="C39" s="16" t="s">
        <v>31</v>
      </c>
      <c r="D39" s="16"/>
    </row>
    <row r="40" spans="1:5" x14ac:dyDescent="0.2">
      <c r="B40" s="16" t="s">
        <v>32</v>
      </c>
      <c r="C40" s="16" t="s">
        <v>81</v>
      </c>
      <c r="D40" s="16" t="s">
        <v>36</v>
      </c>
    </row>
    <row r="41" spans="1:5" x14ac:dyDescent="0.2">
      <c r="B41" s="16" t="s">
        <v>38</v>
      </c>
      <c r="C41" s="16" t="s">
        <v>82</v>
      </c>
      <c r="D41" s="16" t="s">
        <v>39</v>
      </c>
    </row>
    <row r="42" spans="1:5" x14ac:dyDescent="0.2">
      <c r="B42" s="16" t="s">
        <v>41</v>
      </c>
      <c r="C42" s="16" t="s">
        <v>83</v>
      </c>
      <c r="D42" s="16" t="s">
        <v>42</v>
      </c>
    </row>
    <row r="43" spans="1:5" x14ac:dyDescent="0.2">
      <c r="B43" s="16" t="s">
        <v>44</v>
      </c>
      <c r="C43" s="16" t="s">
        <v>84</v>
      </c>
      <c r="D43" s="16" t="s">
        <v>85</v>
      </c>
    </row>
    <row r="45" spans="1:5" x14ac:dyDescent="0.2">
      <c r="B45" s="19" t="s">
        <v>50</v>
      </c>
      <c r="C45" s="19"/>
      <c r="D45" s="19"/>
    </row>
    <row r="47" spans="1:5" x14ac:dyDescent="0.2">
      <c r="B47" s="14" t="s">
        <v>28</v>
      </c>
      <c r="C47" s="15" t="s">
        <v>29</v>
      </c>
      <c r="D47" s="14" t="s">
        <v>26</v>
      </c>
    </row>
    <row r="48" spans="1:5" x14ac:dyDescent="0.2">
      <c r="B48" s="16" t="s">
        <v>51</v>
      </c>
      <c r="C48" s="16" t="s">
        <v>86</v>
      </c>
      <c r="D48" s="16" t="s">
        <v>87</v>
      </c>
    </row>
    <row r="49" spans="1:6" x14ac:dyDescent="0.2">
      <c r="B49" s="16" t="s">
        <v>54</v>
      </c>
      <c r="C49" s="16" t="s">
        <v>88</v>
      </c>
      <c r="D49" s="16" t="s">
        <v>89</v>
      </c>
    </row>
    <row r="50" spans="1:6" x14ac:dyDescent="0.2">
      <c r="B50" s="16" t="s">
        <v>56</v>
      </c>
      <c r="C50" s="16" t="s">
        <v>90</v>
      </c>
      <c r="D50" s="16" t="s">
        <v>92</v>
      </c>
    </row>
    <row r="51" spans="1:6" x14ac:dyDescent="0.2">
      <c r="B51" s="16" t="s">
        <v>59</v>
      </c>
      <c r="C51" s="16" t="s">
        <v>91</v>
      </c>
      <c r="D51" s="16" t="s">
        <v>93</v>
      </c>
    </row>
    <row r="52" spans="1:6" x14ac:dyDescent="0.2">
      <c r="B52" s="16" t="s">
        <v>64</v>
      </c>
      <c r="C52" s="16" t="s">
        <v>63</v>
      </c>
      <c r="D52" s="16" t="s">
        <v>94</v>
      </c>
    </row>
    <row r="53" spans="1:6" x14ac:dyDescent="0.2">
      <c r="B53" s="16" t="s">
        <v>65</v>
      </c>
      <c r="C53" s="16" t="s">
        <v>15</v>
      </c>
      <c r="D53" s="16" t="s">
        <v>95</v>
      </c>
    </row>
    <row r="54" spans="1:6" x14ac:dyDescent="0.2">
      <c r="B54" s="16" t="s">
        <v>68</v>
      </c>
      <c r="C54" s="16" t="s">
        <v>96</v>
      </c>
      <c r="D54" s="16" t="s">
        <v>69</v>
      </c>
    </row>
    <row r="55" spans="1:6" x14ac:dyDescent="0.2">
      <c r="B55" s="16" t="s">
        <v>71</v>
      </c>
      <c r="C55" s="16" t="s">
        <v>97</v>
      </c>
      <c r="D55" s="16" t="s">
        <v>72</v>
      </c>
    </row>
    <row r="57" spans="1:6" x14ac:dyDescent="0.2">
      <c r="B57" s="19" t="s">
        <v>73</v>
      </c>
      <c r="C57" s="19"/>
      <c r="D57" s="19"/>
    </row>
    <row r="59" spans="1:6" x14ac:dyDescent="0.2">
      <c r="B59" s="14" t="s">
        <v>28</v>
      </c>
      <c r="C59" s="15" t="s">
        <v>29</v>
      </c>
      <c r="D59" s="14" t="s">
        <v>26</v>
      </c>
    </row>
    <row r="60" spans="1:6" x14ac:dyDescent="0.2">
      <c r="B60" s="16" t="s">
        <v>98</v>
      </c>
      <c r="C60" s="16" t="s">
        <v>75</v>
      </c>
      <c r="D60" s="16" t="s">
        <v>76</v>
      </c>
    </row>
    <row r="61" spans="1:6" x14ac:dyDescent="0.2">
      <c r="B61" s="16" t="s">
        <v>100</v>
      </c>
      <c r="C61" s="16" t="s">
        <v>79</v>
      </c>
      <c r="D61" s="16" t="s">
        <v>99</v>
      </c>
    </row>
    <row r="64" spans="1:6" ht="18.75" x14ac:dyDescent="0.2">
      <c r="A64" s="20" t="s">
        <v>119</v>
      </c>
      <c r="B64" s="20"/>
      <c r="C64" s="20"/>
      <c r="D64" s="20"/>
      <c r="E64" s="20"/>
      <c r="F64" s="17"/>
    </row>
    <row r="66" spans="2:4" x14ac:dyDescent="0.2">
      <c r="B66" s="19" t="s">
        <v>48</v>
      </c>
      <c r="C66" s="19"/>
      <c r="D66" s="19"/>
    </row>
    <row r="68" spans="2:4" x14ac:dyDescent="0.2">
      <c r="B68" s="14" t="s">
        <v>28</v>
      </c>
      <c r="C68" s="15" t="s">
        <v>29</v>
      </c>
      <c r="D68" s="14" t="s">
        <v>26</v>
      </c>
    </row>
    <row r="69" spans="2:4" x14ac:dyDescent="0.2">
      <c r="B69" s="16" t="s">
        <v>30</v>
      </c>
      <c r="C69" s="16" t="s">
        <v>31</v>
      </c>
      <c r="D69" s="16"/>
    </row>
    <row r="70" spans="2:4" x14ac:dyDescent="0.2">
      <c r="B70" s="16" t="s">
        <v>32</v>
      </c>
      <c r="C70" s="16" t="s">
        <v>101</v>
      </c>
      <c r="D70" s="16" t="s">
        <v>33</v>
      </c>
    </row>
    <row r="71" spans="2:4" x14ac:dyDescent="0.2">
      <c r="B71" s="16" t="s">
        <v>35</v>
      </c>
      <c r="C71" s="16" t="s">
        <v>103</v>
      </c>
      <c r="D71" s="16" t="s">
        <v>102</v>
      </c>
    </row>
    <row r="72" spans="2:4" x14ac:dyDescent="0.2">
      <c r="B72" s="16" t="s">
        <v>38</v>
      </c>
      <c r="C72" s="16" t="s">
        <v>104</v>
      </c>
      <c r="D72" s="16" t="s">
        <v>105</v>
      </c>
    </row>
    <row r="73" spans="2:4" x14ac:dyDescent="0.2">
      <c r="B73" s="16" t="s">
        <v>41</v>
      </c>
      <c r="C73" s="16" t="s">
        <v>106</v>
      </c>
      <c r="D73" s="16" t="s">
        <v>42</v>
      </c>
    </row>
    <row r="74" spans="2:4" x14ac:dyDescent="0.2">
      <c r="B74" s="16" t="s">
        <v>107</v>
      </c>
      <c r="C74" s="16" t="s">
        <v>84</v>
      </c>
      <c r="D74" s="16" t="s">
        <v>85</v>
      </c>
    </row>
    <row r="76" spans="2:4" x14ac:dyDescent="0.2">
      <c r="B76" s="19" t="s">
        <v>50</v>
      </c>
      <c r="C76" s="19"/>
      <c r="D76" s="19"/>
    </row>
    <row r="78" spans="2:4" x14ac:dyDescent="0.2">
      <c r="B78" s="14" t="s">
        <v>28</v>
      </c>
      <c r="C78" s="15" t="s">
        <v>29</v>
      </c>
      <c r="D78" s="14" t="s">
        <v>26</v>
      </c>
    </row>
    <row r="79" spans="2:4" x14ac:dyDescent="0.2">
      <c r="B79" s="16" t="s">
        <v>51</v>
      </c>
      <c r="C79" s="16" t="s">
        <v>109</v>
      </c>
      <c r="D79" s="16" t="s">
        <v>108</v>
      </c>
    </row>
    <row r="80" spans="2:4" x14ac:dyDescent="0.2">
      <c r="B80" s="16" t="s">
        <v>54</v>
      </c>
      <c r="C80" s="16" t="s">
        <v>110</v>
      </c>
      <c r="D80" s="16" t="s">
        <v>111</v>
      </c>
    </row>
    <row r="81" spans="1:5" x14ac:dyDescent="0.2">
      <c r="B81" s="16" t="s">
        <v>56</v>
      </c>
      <c r="C81" s="16" t="s">
        <v>112</v>
      </c>
      <c r="D81" s="16" t="s">
        <v>115</v>
      </c>
    </row>
    <row r="82" spans="1:5" x14ac:dyDescent="0.2">
      <c r="B82" s="16" t="s">
        <v>59</v>
      </c>
      <c r="C82" s="16" t="s">
        <v>113</v>
      </c>
      <c r="D82" s="16" t="s">
        <v>116</v>
      </c>
    </row>
    <row r="83" spans="1:5" x14ac:dyDescent="0.2">
      <c r="B83" s="16" t="s">
        <v>64</v>
      </c>
      <c r="C83" s="16" t="s">
        <v>114</v>
      </c>
      <c r="D83" s="16" t="s">
        <v>117</v>
      </c>
    </row>
    <row r="85" spans="1:5" x14ac:dyDescent="0.2">
      <c r="B85" s="19" t="s">
        <v>73</v>
      </c>
      <c r="C85" s="19"/>
      <c r="D85" s="19"/>
    </row>
    <row r="87" spans="1:5" x14ac:dyDescent="0.2">
      <c r="B87" s="14" t="s">
        <v>28</v>
      </c>
      <c r="C87" s="15" t="s">
        <v>29</v>
      </c>
      <c r="D87" s="14" t="s">
        <v>26</v>
      </c>
    </row>
    <row r="88" spans="1:5" x14ac:dyDescent="0.2">
      <c r="B88" s="16" t="s">
        <v>98</v>
      </c>
      <c r="C88" s="16" t="s">
        <v>75</v>
      </c>
      <c r="D88" s="16" t="s">
        <v>76</v>
      </c>
    </row>
    <row r="89" spans="1:5" x14ac:dyDescent="0.2">
      <c r="B89" s="16" t="s">
        <v>100</v>
      </c>
      <c r="C89" s="16" t="s">
        <v>79</v>
      </c>
      <c r="D89" s="16" t="s">
        <v>118</v>
      </c>
    </row>
    <row r="92" spans="1:5" ht="18.75" x14ac:dyDescent="0.2">
      <c r="A92" s="20" t="s">
        <v>120</v>
      </c>
      <c r="B92" s="20"/>
      <c r="C92" s="20"/>
      <c r="D92" s="20"/>
      <c r="E92" s="20"/>
    </row>
    <row r="94" spans="1:5" x14ac:dyDescent="0.2">
      <c r="B94" s="19" t="s">
        <v>48</v>
      </c>
      <c r="C94" s="19"/>
      <c r="D94" s="19"/>
    </row>
    <row r="96" spans="1:5" x14ac:dyDescent="0.2">
      <c r="B96" s="14" t="s">
        <v>28</v>
      </c>
      <c r="C96" s="15" t="s">
        <v>29</v>
      </c>
      <c r="D96" s="14" t="s">
        <v>26</v>
      </c>
    </row>
    <row r="97" spans="2:4" x14ac:dyDescent="0.2">
      <c r="B97" s="16" t="s">
        <v>30</v>
      </c>
      <c r="C97" s="16" t="s">
        <v>31</v>
      </c>
      <c r="D97" s="16"/>
    </row>
    <row r="98" spans="2:4" x14ac:dyDescent="0.2">
      <c r="B98" s="16" t="s">
        <v>32</v>
      </c>
      <c r="C98" s="16" t="s">
        <v>103</v>
      </c>
      <c r="D98" s="16" t="s">
        <v>36</v>
      </c>
    </row>
    <row r="99" spans="2:4" x14ac:dyDescent="0.2">
      <c r="B99" s="16" t="s">
        <v>35</v>
      </c>
      <c r="C99" s="16" t="s">
        <v>40</v>
      </c>
      <c r="D99" s="16" t="s">
        <v>39</v>
      </c>
    </row>
    <row r="100" spans="2:4" x14ac:dyDescent="0.2">
      <c r="B100" s="16" t="s">
        <v>38</v>
      </c>
      <c r="C100" s="16" t="s">
        <v>106</v>
      </c>
      <c r="D100" s="16" t="s">
        <v>42</v>
      </c>
    </row>
    <row r="101" spans="2:4" x14ac:dyDescent="0.2">
      <c r="B101" s="16" t="s">
        <v>41</v>
      </c>
      <c r="C101" s="16" t="s">
        <v>84</v>
      </c>
      <c r="D101" s="16" t="s">
        <v>85</v>
      </c>
    </row>
    <row r="103" spans="2:4" x14ac:dyDescent="0.2">
      <c r="B103" s="19" t="s">
        <v>50</v>
      </c>
      <c r="C103" s="19"/>
      <c r="D103" s="19"/>
    </row>
    <row r="105" spans="2:4" x14ac:dyDescent="0.2">
      <c r="B105" s="14" t="s">
        <v>28</v>
      </c>
      <c r="C105" s="15" t="s">
        <v>29</v>
      </c>
      <c r="D105" s="14" t="s">
        <v>26</v>
      </c>
    </row>
    <row r="106" spans="2:4" x14ac:dyDescent="0.2">
      <c r="B106" s="16" t="s">
        <v>51</v>
      </c>
      <c r="C106" s="16" t="s">
        <v>121</v>
      </c>
      <c r="D106" s="16" t="s">
        <v>122</v>
      </c>
    </row>
    <row r="107" spans="2:4" x14ac:dyDescent="0.2">
      <c r="B107" s="16" t="s">
        <v>54</v>
      </c>
      <c r="C107" s="16" t="s">
        <v>110</v>
      </c>
      <c r="D107" s="16" t="s">
        <v>123</v>
      </c>
    </row>
    <row r="108" spans="2:4" x14ac:dyDescent="0.2">
      <c r="B108" s="16" t="s">
        <v>56</v>
      </c>
      <c r="C108" s="16" t="s">
        <v>112</v>
      </c>
      <c r="D108" s="16" t="s">
        <v>124</v>
      </c>
    </row>
    <row r="109" spans="2:4" x14ac:dyDescent="0.2">
      <c r="B109" s="16" t="s">
        <v>59</v>
      </c>
      <c r="C109" s="16" t="s">
        <v>113</v>
      </c>
      <c r="D109" s="16" t="s">
        <v>125</v>
      </c>
    </row>
    <row r="110" spans="2:4" x14ac:dyDescent="0.2">
      <c r="B110" s="16" t="s">
        <v>64</v>
      </c>
      <c r="C110" s="16" t="s">
        <v>114</v>
      </c>
      <c r="D110" s="16" t="s">
        <v>126</v>
      </c>
    </row>
    <row r="112" spans="2:4" x14ac:dyDescent="0.2">
      <c r="B112" s="19" t="s">
        <v>73</v>
      </c>
      <c r="C112" s="19"/>
      <c r="D112" s="19"/>
    </row>
    <row r="114" spans="1:5" x14ac:dyDescent="0.2">
      <c r="B114" s="14" t="s">
        <v>28</v>
      </c>
      <c r="C114" s="15" t="s">
        <v>29</v>
      </c>
      <c r="D114" s="14" t="s">
        <v>26</v>
      </c>
    </row>
    <row r="115" spans="1:5" x14ac:dyDescent="0.2">
      <c r="B115" s="16" t="s">
        <v>74</v>
      </c>
      <c r="C115" s="16" t="s">
        <v>75</v>
      </c>
      <c r="D115" s="16" t="s">
        <v>76</v>
      </c>
    </row>
    <row r="116" spans="1:5" x14ac:dyDescent="0.2">
      <c r="B116" s="16" t="s">
        <v>78</v>
      </c>
      <c r="C116" s="16" t="s">
        <v>79</v>
      </c>
      <c r="D116" s="16" t="s">
        <v>127</v>
      </c>
    </row>
    <row r="119" spans="1:5" ht="18.75" x14ac:dyDescent="0.2">
      <c r="A119" s="20" t="s">
        <v>128</v>
      </c>
      <c r="B119" s="20"/>
      <c r="C119" s="20"/>
      <c r="D119" s="20"/>
      <c r="E119" s="20"/>
    </row>
    <row r="120" spans="1:5" ht="18.75" x14ac:dyDescent="0.2">
      <c r="A120" s="12"/>
      <c r="B120" s="12"/>
      <c r="C120" s="12"/>
      <c r="D120" s="12"/>
      <c r="E120" s="12"/>
    </row>
    <row r="121" spans="1:5" x14ac:dyDescent="0.2">
      <c r="B121" s="19" t="s">
        <v>48</v>
      </c>
      <c r="C121" s="19"/>
      <c r="D121" s="19"/>
    </row>
    <row r="122" spans="1:5" x14ac:dyDescent="0.2">
      <c r="B122" s="11"/>
      <c r="C122" s="11"/>
      <c r="D122" s="11"/>
    </row>
    <row r="123" spans="1:5" x14ac:dyDescent="0.2">
      <c r="B123" s="14" t="s">
        <v>28</v>
      </c>
      <c r="C123" s="15" t="s">
        <v>29</v>
      </c>
      <c r="D123" s="14" t="s">
        <v>26</v>
      </c>
    </row>
    <row r="124" spans="1:5" x14ac:dyDescent="0.2">
      <c r="B124" s="16" t="s">
        <v>30</v>
      </c>
      <c r="C124" s="16" t="s">
        <v>31</v>
      </c>
      <c r="D124" s="16"/>
    </row>
    <row r="125" spans="1:5" x14ac:dyDescent="0.2">
      <c r="B125" s="16" t="s">
        <v>32</v>
      </c>
      <c r="C125" s="16" t="s">
        <v>129</v>
      </c>
      <c r="D125" s="16" t="s">
        <v>33</v>
      </c>
    </row>
    <row r="126" spans="1:5" x14ac:dyDescent="0.2">
      <c r="B126" s="16" t="s">
        <v>35</v>
      </c>
      <c r="C126" s="16" t="s">
        <v>103</v>
      </c>
      <c r="D126" s="16" t="s">
        <v>105</v>
      </c>
    </row>
    <row r="127" spans="1:5" x14ac:dyDescent="0.2">
      <c r="B127" s="16" t="s">
        <v>38</v>
      </c>
      <c r="C127" s="16" t="s">
        <v>104</v>
      </c>
      <c r="D127" s="16" t="s">
        <v>130</v>
      </c>
    </row>
    <row r="128" spans="1:5" x14ac:dyDescent="0.2">
      <c r="B128" s="16" t="s">
        <v>41</v>
      </c>
      <c r="C128" s="16" t="s">
        <v>106</v>
      </c>
      <c r="D128" s="16" t="s">
        <v>131</v>
      </c>
    </row>
    <row r="129" spans="2:4" x14ac:dyDescent="0.2">
      <c r="B129" s="16" t="s">
        <v>44</v>
      </c>
      <c r="C129" s="16" t="s">
        <v>46</v>
      </c>
      <c r="D129" s="16" t="s">
        <v>132</v>
      </c>
    </row>
    <row r="131" spans="2:4" x14ac:dyDescent="0.2">
      <c r="B131" s="19" t="s">
        <v>50</v>
      </c>
      <c r="C131" s="19"/>
      <c r="D131" s="19"/>
    </row>
    <row r="133" spans="2:4" x14ac:dyDescent="0.2">
      <c r="B133" s="14" t="s">
        <v>28</v>
      </c>
      <c r="C133" s="15" t="s">
        <v>29</v>
      </c>
      <c r="D133" s="14" t="s">
        <v>26</v>
      </c>
    </row>
    <row r="134" spans="2:4" x14ac:dyDescent="0.2">
      <c r="B134" s="16" t="s">
        <v>51</v>
      </c>
      <c r="C134" s="16" t="s">
        <v>133</v>
      </c>
      <c r="D134" s="16"/>
    </row>
    <row r="135" spans="2:4" x14ac:dyDescent="0.2">
      <c r="B135" s="16" t="s">
        <v>54</v>
      </c>
      <c r="C135" s="16"/>
      <c r="D135" s="16"/>
    </row>
    <row r="136" spans="2:4" x14ac:dyDescent="0.2">
      <c r="B136" s="16" t="s">
        <v>56</v>
      </c>
      <c r="C136" s="16" t="s">
        <v>16</v>
      </c>
      <c r="D136" s="16"/>
    </row>
    <row r="137" spans="2:4" x14ac:dyDescent="0.2">
      <c r="B137" s="16" t="s">
        <v>59</v>
      </c>
      <c r="C137" s="16"/>
      <c r="D137" s="16"/>
    </row>
    <row r="138" spans="2:4" x14ac:dyDescent="0.2">
      <c r="B138" s="16" t="s">
        <v>64</v>
      </c>
      <c r="C138" s="16"/>
      <c r="D138" s="16"/>
    </row>
    <row r="139" spans="2:4" x14ac:dyDescent="0.2">
      <c r="B139" s="16" t="s">
        <v>65</v>
      </c>
      <c r="C139" s="16"/>
      <c r="D139" s="16"/>
    </row>
  </sheetData>
  <sheetProtection sheet="1" objects="1" scenarios="1"/>
  <mergeCells count="20">
    <mergeCell ref="A64:E64"/>
    <mergeCell ref="B5:D5"/>
    <mergeCell ref="A3:E3"/>
    <mergeCell ref="A1:E1"/>
    <mergeCell ref="B15:D15"/>
    <mergeCell ref="B27:D27"/>
    <mergeCell ref="A34:E34"/>
    <mergeCell ref="B36:D36"/>
    <mergeCell ref="B45:D45"/>
    <mergeCell ref="B57:D57"/>
    <mergeCell ref="B66:D66"/>
    <mergeCell ref="B76:D76"/>
    <mergeCell ref="B85:D85"/>
    <mergeCell ref="A92:E92"/>
    <mergeCell ref="B94:D94"/>
    <mergeCell ref="B131:D131"/>
    <mergeCell ref="B103:D103"/>
    <mergeCell ref="B112:D112"/>
    <mergeCell ref="A119:E119"/>
    <mergeCell ref="B121:D1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2EE4-CB13-44E9-8AE7-9EC7C77CA019}">
  <sheetPr codeName="Sheet9"/>
  <dimension ref="A1:A22"/>
  <sheetViews>
    <sheetView workbookViewId="0">
      <selection activeCell="A23" sqref="A23"/>
    </sheetView>
  </sheetViews>
  <sheetFormatPr defaultRowHeight="15" x14ac:dyDescent="0.2"/>
  <cols>
    <col min="1" max="1" width="187.390625" customWidth="1"/>
  </cols>
  <sheetData>
    <row r="1" spans="1:1" x14ac:dyDescent="0.2">
      <c r="A1" t="s">
        <v>13</v>
      </c>
    </row>
    <row r="4" spans="1:1" x14ac:dyDescent="0.2">
      <c r="A4" t="s">
        <v>12</v>
      </c>
    </row>
    <row r="7" spans="1:1" x14ac:dyDescent="0.2">
      <c r="A7" t="s">
        <v>14</v>
      </c>
    </row>
    <row r="10" spans="1:1" x14ac:dyDescent="0.2">
      <c r="A10" t="s">
        <v>18</v>
      </c>
    </row>
    <row r="12" spans="1:1" x14ac:dyDescent="0.2">
      <c r="A12" t="s">
        <v>19</v>
      </c>
    </row>
    <row r="13" spans="1:1" x14ac:dyDescent="0.2">
      <c r="A13" t="s">
        <v>17</v>
      </c>
    </row>
    <row r="18" spans="1:1" x14ac:dyDescent="0.2">
      <c r="A18" t="s">
        <v>23</v>
      </c>
    </row>
    <row r="20" spans="1:1" x14ac:dyDescent="0.2">
      <c r="A20" t="s">
        <v>24</v>
      </c>
    </row>
    <row r="22" spans="1:1" x14ac:dyDescent="0.2">
      <c r="A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logisticscoordinator 2030</dc:creator>
  <cp:lastModifiedBy>logisticscoordinator 2030</cp:lastModifiedBy>
  <cp:lastPrinted>2026-08-17T00:10:35Z</cp:lastPrinted>
  <dcterms:created xsi:type="dcterms:W3CDTF">2026-07-23T23:01:34Z</dcterms:created>
  <dcterms:modified xsi:type="dcterms:W3CDTF">2026-08-27T00:42:50Z</dcterms:modified>
</cp:coreProperties>
</file>